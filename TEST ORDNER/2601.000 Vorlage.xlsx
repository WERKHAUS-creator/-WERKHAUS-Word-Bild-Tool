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Volumes/datenserver/10. Projekte/2026/2698 Vorlagen/33 Berechungsgrundlagen/"/>
    </mc:Choice>
  </mc:AlternateContent>
  <xr:revisionPtr revIDLastSave="0" documentId="13_ncr:1_{FD5E58AD-9B86-4F44-939B-E51200712090}" xr6:coauthVersionLast="47" xr6:coauthVersionMax="47" xr10:uidLastSave="{00000000-0000-0000-0000-000000000000}"/>
  <bookViews>
    <workbookView xWindow="9180" yWindow="800" windowWidth="39960" windowHeight="27060" xr2:uid="{ECB406C6-D00E-B847-887D-4CD2B01F8389}"/>
  </bookViews>
  <sheets>
    <sheet name="A_Grundlagen" sheetId="1" r:id="rId1"/>
    <sheet name="B_Wert" sheetId="4" r:id="rId2"/>
    <sheet name="C_Textbausteine" sheetId="5" r:id="rId3"/>
    <sheet name="E_Lüftungskonzept" sheetId="6" r:id="rId4"/>
    <sheet name="F_Heizlast" sheetId="8" r:id="rId5"/>
    <sheet name="K_Kosten" sheetId="7" r:id="rId6"/>
  </sheets>
  <definedNames>
    <definedName name="A_AG_Adresse">A_Grundlagen!$B$33</definedName>
    <definedName name="A_AG_AdresseZusatz">A_Grundlagen!$B$34</definedName>
    <definedName name="A_AG_Anrede">A_Grundlagen!$B$28</definedName>
    <definedName name="A_AG_Firma">A_Grundlagen!$B$26</definedName>
    <definedName name="A_AG_FirmaZusatz">A_Grundlagen!$B$27</definedName>
    <definedName name="A_AG_Land">A_Grundlagen!$B$38</definedName>
    <definedName name="A_AG_Nachname">A_Grundlagen!$B$30</definedName>
    <definedName name="A_AG_Name">A_Grundlagen!$B$31</definedName>
    <definedName name="A_AG_Ort">A_Grundlagen!$B$36</definedName>
    <definedName name="A_AG_PLZ">A_Grundlagen!$B$35</definedName>
    <definedName name="A_AG_PLZ_Ort">A_Grundlagen!$B$37</definedName>
    <definedName name="A_AG_Projekt">A_Grundlagen!$B$22</definedName>
    <definedName name="A_AG_Vorname">A_Grundlagen!$B$29</definedName>
    <definedName name="A_Alter">A_Grundlagen!#REF!</definedName>
    <definedName name="A_Auftrag">A_Grundlagen!$B$8</definedName>
    <definedName name="A_Auftrag_Datum">A_Grundlagen!$B$7</definedName>
    <definedName name="A_Baujahr">A_Grundlagen!#REF!</definedName>
    <definedName name="A_FlurStkNr">A_Grundlagen!$B$49</definedName>
    <definedName name="A_Geschoss">A_Grundlagen!#REF!</definedName>
    <definedName name="A_GND_ImmoWertV">A_Grundlagen!#REF!</definedName>
    <definedName name="A_GND_Modernisierung">A_Grundlagen!#REF!</definedName>
    <definedName name="A_Gutachten_Art">A_Grundlagen!$B$2</definedName>
    <definedName name="A_Gutachten_Datum">A_Grundlagen!$B$4</definedName>
    <definedName name="A_Gutachten_Thema">A_Grundlagen!$B$3</definedName>
    <definedName name="A_Gutachter_Nachname">A_Grundlagen!$B$15</definedName>
    <definedName name="A_Gutachter_Name">A_Grundlagen!$B$16</definedName>
    <definedName name="A_Gutachter_Vorname">A_Grundlagen!$B$14</definedName>
    <definedName name="A_Leerstand">A_Grundlagen!#REF!</definedName>
    <definedName name="A_OJ_Adresse">A_Grundlagen!$B$42</definedName>
    <definedName name="A_OJ_AdresseZusatz">A_Grundlagen!$B$43</definedName>
    <definedName name="A_OJ_Land">A_Grundlagen!$B$47</definedName>
    <definedName name="A_OJ_Ort">A_Grundlagen!$B$45</definedName>
    <definedName name="A_OJ_PLZ">A_Grundlagen!$B$44</definedName>
    <definedName name="A_OJ_PLZ_Ort">A_Grundlagen!$B$46</definedName>
    <definedName name="A_OT1_Datum">A_Grundlagen!$B$56</definedName>
    <definedName name="A_OT1_Gutachter">A_Grundlagen!$B$59</definedName>
    <definedName name="A_OT1_Teilnehmer1">A_Grundlagen!$B$60</definedName>
    <definedName name="A_OT1_Teilnehmer2">A_Grundlagen!$B$61</definedName>
    <definedName name="A_OT1_Teilnehmer3">A_Grundlagen!$B$62</definedName>
    <definedName name="A_OT1_Teilnehmer4">A_Grundlagen!$B$63</definedName>
    <definedName name="A_OT1_Zeit">A_Grundlagen!$B$57</definedName>
    <definedName name="A_OT2_Datum">A_Grundlagen!$B$67</definedName>
    <definedName name="A_OT2_Gutachter">A_Grundlagen!$B$70</definedName>
    <definedName name="A_OT2_Teilnehmer1">A_Grundlagen!$B$71</definedName>
    <definedName name="A_OT2_Teilnehmer2">A_Grundlagen!$B$72</definedName>
    <definedName name="A_OT2_Teilnehmer3">A_Grundlagen!$B$73</definedName>
    <definedName name="A_OT2_Teilnehmer4">A_Grundlagen!$B$74</definedName>
    <definedName name="A_OT2_Zeit">A_Grundlagen!$B$68</definedName>
    <definedName name="A_OT3_Datum">A_Grundlagen!$B$78</definedName>
    <definedName name="A_OT3_Gutachter">A_Grundlagen!$B$81</definedName>
    <definedName name="A_OT3_Teilnehmer1">A_Grundlagen!$B$82</definedName>
    <definedName name="A_OT3_Teilnehmer2">A_Grundlagen!$B$83</definedName>
    <definedName name="A_OT3_Teilnehmer3">A_Grundlagen!$B$84</definedName>
    <definedName name="A_OT3_Teilnehmer4">A_Grundlagen!$B$85</definedName>
    <definedName name="A_OT3_Zeit">A_Grundlagen!$B$79</definedName>
    <definedName name="A_Projektname">A_Grundlagen!$B$21</definedName>
    <definedName name="A_ProjektNr">A_Grundlagen!$B$20</definedName>
    <definedName name="A_RND">A_Grundlagen!#REF!</definedName>
    <definedName name="A_Techn_ND">A_Grundlagen!#REF!</definedName>
    <definedName name="C_Kostenschätzung">C_Textbausteine!$B$3</definedName>
    <definedName name="C_Untersuchung">C_Textbausteine!$B$7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7" l="1"/>
  <c r="F26" i="7"/>
  <c r="F25" i="7"/>
  <c r="F24" i="7"/>
  <c r="F23" i="7"/>
  <c r="F22" i="7"/>
  <c r="F20" i="7"/>
  <c r="F19" i="7"/>
  <c r="F17" i="7"/>
  <c r="F15" i="7"/>
  <c r="F13" i="7"/>
  <c r="F11" i="7"/>
  <c r="F9" i="7"/>
  <c r="E8" i="7"/>
  <c r="F8" i="7" s="1"/>
  <c r="F30" i="7" s="1"/>
  <c r="F7" i="7"/>
  <c r="F6" i="7"/>
  <c r="F4" i="7"/>
  <c r="F31" i="7" l="1"/>
  <c r="F32" i="7" s="1"/>
  <c r="E10" i="6" l="1"/>
  <c r="A21" i="6"/>
  <c r="A20" i="6"/>
  <c r="A10" i="6"/>
  <c r="A3" i="6"/>
  <c r="B7" i="5"/>
  <c r="B56" i="1"/>
  <c r="B57" i="1"/>
  <c r="B68" i="1"/>
  <c r="B67" i="1"/>
  <c r="B3" i="5"/>
  <c r="B90" i="1"/>
  <c r="B89" i="1"/>
  <c r="B79" i="1"/>
  <c r="B3" i="1"/>
  <c r="B2" i="1"/>
  <c r="B78" i="1"/>
  <c r="B7" i="1"/>
  <c r="B4" i="1"/>
  <c r="B8" i="4"/>
  <c r="B7" i="4"/>
  <c r="B6" i="4"/>
  <c r="B5" i="4"/>
  <c r="B4" i="4"/>
  <c r="B13" i="4"/>
  <c r="B12" i="4"/>
  <c r="B3" i="4"/>
  <c r="B22" i="1"/>
  <c r="B31" i="1"/>
  <c r="B37" i="1"/>
  <c r="B16" i="1"/>
  <c r="B81" i="1" s="1"/>
  <c r="B70" i="1" l="1"/>
  <c r="B92" i="1"/>
  <c r="B59" i="1"/>
  <c r="B46" i="1"/>
</calcChain>
</file>

<file path=xl/sharedStrings.xml><?xml version="1.0" encoding="utf-8"?>
<sst xmlns="http://schemas.openxmlformats.org/spreadsheetml/2006/main" count="238" uniqueCount="161">
  <si>
    <t>Projekt</t>
  </si>
  <si>
    <t>Projektname</t>
  </si>
  <si>
    <t>ProjektNr</t>
  </si>
  <si>
    <t>Auftraggeber</t>
  </si>
  <si>
    <t>Firma</t>
  </si>
  <si>
    <t>Anrede</t>
  </si>
  <si>
    <t>Vorname</t>
  </si>
  <si>
    <t>Nachname</t>
  </si>
  <si>
    <t>Name</t>
  </si>
  <si>
    <t>Firma Zusatz</t>
  </si>
  <si>
    <t>Adresse</t>
  </si>
  <si>
    <t>Adresse Zusatz</t>
  </si>
  <si>
    <t>PLZ</t>
  </si>
  <si>
    <t>Ort</t>
  </si>
  <si>
    <t>PLZ Ort</t>
  </si>
  <si>
    <t>Land</t>
  </si>
  <si>
    <t>Objekt</t>
  </si>
  <si>
    <t>Gutachter</t>
  </si>
  <si>
    <t>Stefan</t>
  </si>
  <si>
    <t>Hubenschmid</t>
  </si>
  <si>
    <t>Datum</t>
  </si>
  <si>
    <t>Teilnehmer 1</t>
  </si>
  <si>
    <t>Teilnehmer 2</t>
  </si>
  <si>
    <t>Teilnehmer 3</t>
  </si>
  <si>
    <t>Teilnehmer 4</t>
  </si>
  <si>
    <t>Gutachterliche Stellungnahme</t>
  </si>
  <si>
    <t>Gutachten</t>
  </si>
  <si>
    <t>Art</t>
  </si>
  <si>
    <t>Bericht</t>
  </si>
  <si>
    <t>Beweissicherung</t>
  </si>
  <si>
    <t>Dokumentation</t>
  </si>
  <si>
    <t>Gutachten Art</t>
  </si>
  <si>
    <t>Thema</t>
  </si>
  <si>
    <t>Auftrag</t>
  </si>
  <si>
    <t>https://www.gutachterausschuesse-bw.de/borisbw/?lang=de</t>
  </si>
  <si>
    <t>https://www.geoportal-bw.de/#/</t>
  </si>
  <si>
    <t>Baujahr</t>
  </si>
  <si>
    <t>FlurStkNr</t>
  </si>
  <si>
    <t>Alter</t>
  </si>
  <si>
    <t>Grundnutzungsdauer gem. ImmoWertV</t>
  </si>
  <si>
    <t>Grundnutzungsdauer n. Modernisierung</t>
  </si>
  <si>
    <t>Restnutzungsdauer (aktuell)</t>
  </si>
  <si>
    <t>Techn. Nutzungsdauer</t>
  </si>
  <si>
    <t>https://www.lfu.bayern.de/wasser/hw_risikomanagement_umsetzung/hwgk_hwrk/index.htm</t>
  </si>
  <si>
    <t>https://www.umweltatlas.bayern.de/mapapps/resources/apps/umweltatlas/index.html?lang=de&amp;layers=lfu_domain-naturgefahren,service_naturgef_4,6;lfu_domain-naturgefahren,service_naturgef_4,4;lfu_domain-naturgefahren,service_naturgef_4,5;lfu_domain-naturgefahren,service_naturgef_4,7;lfu_domain-naturgefahren,service_naturgef_4,10;lfu_domain-naturgefahren,service_naturgef_4,8;lfu_domain-naturgefahren,service_naturgef_4,9&amp;center=631511.5862247146,5396296.612700383,25832&amp;scale=72224&amp;bm=combined_with_webkarte_grau</t>
  </si>
  <si>
    <t>Geschosse</t>
  </si>
  <si>
    <t>Leerstand</t>
  </si>
  <si>
    <t>Nutzungsdauer</t>
  </si>
  <si>
    <t>sonstiges</t>
  </si>
  <si>
    <t>Energieberatung</t>
  </si>
  <si>
    <t>Zustandsfeststellung und Zusammenstellung der Mängel</t>
  </si>
  <si>
    <t>Schäden an Gebäuden</t>
  </si>
  <si>
    <t>Objekt Adressse</t>
  </si>
  <si>
    <t>Schaden durch Luftundichtigkeit</t>
  </si>
  <si>
    <t>Schaden durch Schimmel</t>
  </si>
  <si>
    <t>Schaden durch Feuchtigkeit</t>
  </si>
  <si>
    <t>Schaden durch Pilze</t>
  </si>
  <si>
    <t>Schaden durch Insekten</t>
  </si>
  <si>
    <t>Thermographie</t>
  </si>
  <si>
    <t>Blower Door Test</t>
  </si>
  <si>
    <t>Ortstermin 1</t>
  </si>
  <si>
    <t>Ortstermin 2</t>
  </si>
  <si>
    <t>Zeit</t>
  </si>
  <si>
    <t>Ortstermin 3</t>
  </si>
  <si>
    <t>Kaufberatung</t>
  </si>
  <si>
    <t>Gutachterliche Beratung</t>
  </si>
  <si>
    <t>10:00 - 17:02</t>
  </si>
  <si>
    <t>Ortstermin 4</t>
  </si>
  <si>
    <t>Stefan Hubenschmid - Sachverständiger</t>
  </si>
  <si>
    <t>Ortstermin 5</t>
  </si>
  <si>
    <t>Anlagen</t>
  </si>
  <si>
    <t>Anlage A:</t>
  </si>
  <si>
    <t>Anlage B:</t>
  </si>
  <si>
    <t>Anlage C:</t>
  </si>
  <si>
    <t>Anlage D:</t>
  </si>
  <si>
    <t>Anlage E:</t>
  </si>
  <si>
    <t>Anlage F:</t>
  </si>
  <si>
    <t>Anlage G:</t>
  </si>
  <si>
    <t>Anlage H:</t>
  </si>
  <si>
    <t>10:00 - 17:03</t>
  </si>
  <si>
    <t>10:00 - 17:04</t>
  </si>
  <si>
    <t>Die Schäzung der Sanierungskosten ist Bestandteil dieser gutachterlichen Stellungnahme. 
Die Kostenschätzung im Rahmen eines Baugutachtens unterscheidet sich grundsätzlich von der Kostenschätzung, die im Zuge einer Gebäudeplanung durch einen Architekten erfolgt. Während das Gutachten in der Regel eine überschlägige Einschätzung der voraussichtlichen Sanierungskosten liefert, dient die architektonische Kostenermittlung im Planungsprozess der schrittweisen Konkretisierung und Fortschreibung der Baukosten entsprechend der Leistungsphasen gemäß HOAI.
Die Genauigkeit einer Kostenschätzung liegt in der Regel bei ± 30 %, während eine Kostenberechnung auf Basis konkreter Planungsunterlagen eine Genauigkeit von ± 20 % erreicht. Ein Kostenanschlag, der sich auf geprüfte Ausschreibungsergebnisse stützt, kann eine noch genauere Aussage über die zu erwartenden Baukosten liefern, wobei erfahrungsgemäß Nachtragskosten von etwa 5–10 % einzuplanen sind. Die abschließende Kostenfeststellung dokumentiert die tatsächlich entstandenen Baukosten nach Abschluss der Maßnahme.
Alle genannten Kostenstufen orientieren sich an der DIN 276 in Verbindung mit der Flächen- und Raumberechnung gemäß DIN 277. Für die Ermittlung der Baukosten im Gutachten können verschiedene Quellen herangezogen werden, darunter insbesondere:
– die BKI-Baukostendaten des Baukosteninformationszentrums Deutscher Architektenkammern GmbH,
– Fachliteratur wie „Baukosten“ von Schmitz, Gerlach und Meisel (Verlag Hubert Wingen),
– überschlägige Schätzungen auf Basis von Zeit- und Materialeinsatz,
– sowie marktübliche Preise aus vergleichbaren Angeboten.</t>
  </si>
  <si>
    <t>Nr</t>
  </si>
  <si>
    <t>Textbaustein</t>
  </si>
  <si>
    <t>Kostenschätzung</t>
  </si>
  <si>
    <t>keine Kostenschätzung</t>
  </si>
  <si>
    <t>Kosten</t>
  </si>
  <si>
    <t>Die Aufstellung einer Kostenschätzung war nicht Bestandteil dieser gutachterlichen Stellungnahme. Sie fällt in den Bereich der Sanierungsplanung.</t>
  </si>
  <si>
    <t>Untersuchung</t>
  </si>
  <si>
    <t>Die Feststellung von Bauschäden, Baumängeln und sonstigen Auffälligkeiten erfolgt in der Regel durch eine visuelle Begutachtung im Rahmen des Ortstermins. Falls ein weitergehender Erkenntnisgewinn nur durch eine Bauteilöffnung möglich ist, wird diese nach vorheriger Absprache und mit Einverständnis des Auftraggebers durchgeführt. Das fachgerechte Verschließen der Bauteilöffnung obliegt dem Auftraggeber.</t>
  </si>
  <si>
    <t>ohne Bauteilöffnung</t>
  </si>
  <si>
    <t>Die Feststellung von Bauschäden, Baumängeln und sonstigen Auffälligkeiten erfolgt grundsätzlich durch eine visuelle Begutachtung im Rahmen des Ortstermins. Technische Untersuchungen oder zerstörende Prüfverfahren werden ausschließlich dann vorgenommen, wenn hierfür zuvor eine ausdrückliche und schriftliche Vereinbarung mit dem Auftraggeber getroffen wurde.</t>
  </si>
  <si>
    <t>mit Bauteilöffnung</t>
  </si>
  <si>
    <t>10:00 - 17:00</t>
  </si>
  <si>
    <t>10:00 - 17:01</t>
  </si>
  <si>
    <t>2301.000</t>
  </si>
  <si>
    <t>Mustermann</t>
  </si>
  <si>
    <t>Herr</t>
  </si>
  <si>
    <t>Max</t>
  </si>
  <si>
    <t>Musterstr. 1</t>
  </si>
  <si>
    <t>Musterstadt</t>
  </si>
  <si>
    <t>Schadensstar. 99</t>
  </si>
  <si>
    <t>Musterdorf</t>
  </si>
  <si>
    <t xml:space="preserve">Herr </t>
  </si>
  <si>
    <t>Lüftungskonzeptes</t>
  </si>
  <si>
    <t>Das Lüftungskonzeptes gemäß DIN 1946/6 ist im Anhang dargestellt.</t>
  </si>
  <si>
    <t>Es erfolgte die Eingangsprüfung gemäß DIN 1946/6 diese ist im Anhang dargestellt.</t>
  </si>
  <si>
    <t>Anhang</t>
  </si>
  <si>
    <t>"Lüftungstechnische" Maßnahmen und Lüftungssysteme gem. DIN 1946/6</t>
  </si>
  <si>
    <t xml:space="preserve">Eingangsprüfung: Wohnungslüftung </t>
  </si>
  <si>
    <t xml:space="preserve">Zusammenfassung / Ergebnis </t>
  </si>
  <si>
    <t>"Lüftungstechnische" Maßnahmen sind erforderlich</t>
  </si>
  <si>
    <t>d.h. es sollten weitere lüftungstechnische Maßnahmen geplant werden. Dies kann gem. DIN 1946/6 erfolgen bzw. als Grundlage kann auch das Merkblatt zum „Lüften im Wohnungsbau“ herangezogen werden.</t>
  </si>
  <si>
    <t>"Lüftungstechnische" Maßnahmen sind nicht erforderlich</t>
  </si>
  <si>
    <t>d.h. es ist jedoch trotzdem zu empfehlen Überlegungen zur Lüftung zu machen. Dies kann gem. DIN 1946/6 erfolgen bzw. als Grundlage kann auch das Merkblatt zum „Lüften im Wohnungsbau“ herangezogen werden.</t>
  </si>
  <si>
    <t>Kosten-gruppe</t>
  </si>
  <si>
    <t>Leistung</t>
  </si>
  <si>
    <t>Einheit</t>
  </si>
  <si>
    <t>Menge</t>
  </si>
  <si>
    <t>EP</t>
  </si>
  <si>
    <t>GP</t>
  </si>
  <si>
    <t>Rückbau und Einbau Decken</t>
  </si>
  <si>
    <t>Re_Lorbeer (Anlahe 4)</t>
  </si>
  <si>
    <t>ges.</t>
  </si>
  <si>
    <t>Technische Trocknung</t>
  </si>
  <si>
    <t>KVA_Fa__MBS_Trocknungsarbeiten (Anlage 3)</t>
  </si>
  <si>
    <t>Stromkosten gem Protokoll  Fa. Schulz (Anlage 6)</t>
  </si>
  <si>
    <t>kWh</t>
  </si>
  <si>
    <t>RE  teamHaus (Anlage 16)</t>
  </si>
  <si>
    <t>RE Schulz Raumtrocknung (Anlage 14)</t>
  </si>
  <si>
    <t>Heizung - Installation (Heizregister Lüftungsanlage)</t>
  </si>
  <si>
    <t>Salzmann_KV_Register  (Anlahe 5)</t>
  </si>
  <si>
    <t>Elektroinstallation</t>
  </si>
  <si>
    <t>Weosta_Elektroschaden_Angebot  (Anlahe 7)</t>
  </si>
  <si>
    <t>Feinreinigung nach Schimmelsanierung</t>
  </si>
  <si>
    <t>pauschal</t>
  </si>
  <si>
    <t>Mobiliar für Hotelzimmer</t>
  </si>
  <si>
    <t>Auftrag_Moebel_Stumpp   (Anlahe 8)</t>
  </si>
  <si>
    <t>Bauleitung</t>
  </si>
  <si>
    <t>RE Baubetreuung Straub (Anlage 12)</t>
  </si>
  <si>
    <t>RE Baubetreuung Straub (Anlage 15)</t>
  </si>
  <si>
    <t>Labor- und Untersuchungskosten</t>
  </si>
  <si>
    <t>Re_Sutter_1 (Anlage 1)</t>
  </si>
  <si>
    <t>Re_Sutter_1 (Anlage 2)</t>
  </si>
  <si>
    <t>Re_ Werkhaus_GmbH_ Freimessung (Anlage 9)</t>
  </si>
  <si>
    <t>RE ISA Dr Strohmeyer.pdf (Anlage 11)</t>
  </si>
  <si>
    <t>RE Schulz Messung (Anlage 13)</t>
  </si>
  <si>
    <t>Mietausfall (Anlage 10)</t>
  </si>
  <si>
    <t>Gesamtsumme (Netto)</t>
  </si>
  <si>
    <t>MwSt 19%</t>
  </si>
  <si>
    <t>Gesamtsumme (Brutto)</t>
  </si>
  <si>
    <t>Feuchtigkeitsschaden mit daraus resultierendem Schimmelbefall</t>
  </si>
  <si>
    <t>Sachverständigenverfahrens nach § 84 VVG in Verbindung mit der Sachverständigenklausel der geltenden Allgemeinen Versicherungsbedingungen (AVB)</t>
  </si>
  <si>
    <t>Lüftungskonzept</t>
  </si>
  <si>
    <t>Luftdichtheitskonzept</t>
  </si>
  <si>
    <t>Heizlastberechung</t>
  </si>
  <si>
    <t>Hydraulischer Abgleich</t>
  </si>
  <si>
    <t>Verkaufberatung</t>
  </si>
  <si>
    <t>Mangelbericht vor Ablauf der Gewährleistung</t>
  </si>
  <si>
    <t>Gutachterlicher Bericht zur Bauausführung</t>
  </si>
  <si>
    <t>Sanierungsgutachten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</si>
</sst>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 [$€-407]_-;\-* #,##0.00\ [$€-407]_-;_-* &quot;-&quot;??\ [$€-407]_-;_-@_-"/>
  </numFmts>
  <fonts count="21" x14ac:knownFonts="1">
    <font>
      <sz val="12"/>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sz val="11"/>
      <color rgb="FFFF0000"/>
      <name val="Calibri"/>
      <family val="2"/>
      <scheme val="minor"/>
    </font>
    <font>
      <sz val="11"/>
      <color rgb="FF000000"/>
      <name val="Calibri"/>
      <family val="2"/>
      <scheme val="minor"/>
    </font>
    <font>
      <u/>
      <sz val="12"/>
      <color theme="10"/>
      <name val="Calibri"/>
      <family val="2"/>
      <scheme val="minor"/>
    </font>
    <font>
      <b/>
      <sz val="8"/>
      <name val="Calibri"/>
      <family val="2"/>
      <scheme val="minor"/>
    </font>
    <font>
      <u/>
      <sz val="11"/>
      <color theme="10"/>
      <name val="Calibri"/>
      <family val="2"/>
      <scheme val="minor"/>
    </font>
    <font>
      <b/>
      <sz val="11"/>
      <color rgb="FFFF0000"/>
      <name val="Calibri"/>
      <family val="2"/>
      <scheme val="minor"/>
    </font>
    <font>
      <sz val="11"/>
      <color rgb="FFFFFFFF"/>
      <name val="Calibri"/>
      <family val="2"/>
      <scheme val="minor"/>
    </font>
    <font>
      <sz val="12"/>
      <color rgb="FFFF0000"/>
      <name val="Calibri"/>
      <family val="2"/>
      <scheme val="minor"/>
    </font>
    <font>
      <b/>
      <sz val="14"/>
      <color theme="1"/>
      <name val="Calibri"/>
      <family val="2"/>
      <scheme val="minor"/>
    </font>
    <font>
      <sz val="12"/>
      <color rgb="FFC00000"/>
      <name val="Calibri"/>
      <family val="2"/>
      <scheme val="minor"/>
    </font>
    <font>
      <sz val="12"/>
      <color theme="1"/>
      <name val="Calibri"/>
      <family val="2"/>
      <scheme val="minor"/>
    </font>
    <font>
      <b/>
      <sz val="12"/>
      <color theme="1"/>
      <name val="Calibri"/>
      <family val="2"/>
      <scheme val="minor"/>
    </font>
    <font>
      <sz val="10"/>
      <color rgb="FF000000"/>
      <name val="Calibri"/>
      <family val="2"/>
      <scheme val="minor"/>
    </font>
    <font>
      <sz val="8"/>
      <color rgb="FF000000"/>
      <name val="Arial"/>
      <family val="2"/>
    </font>
    <font>
      <sz val="10"/>
      <color theme="1"/>
      <name val="Calibri"/>
      <family val="2"/>
      <scheme val="minor"/>
    </font>
    <font>
      <b/>
      <sz val="10"/>
      <color rgb="FF000000"/>
      <name val="Calibri"/>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rgb="FF00B050"/>
        <bgColor indexed="64"/>
      </patternFill>
    </fill>
    <fill>
      <patternFill patternType="solid">
        <fgColor theme="9" tint="0.79998168889431442"/>
        <bgColor indexed="64"/>
      </patternFill>
    </fill>
    <fill>
      <patternFill patternType="solid">
        <fgColor rgb="FF808080"/>
        <bgColor rgb="FF000000"/>
      </patternFill>
    </fill>
    <fill>
      <patternFill patternType="solid">
        <fgColor rgb="FFE2EFDA"/>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7" fillId="0" borderId="0" applyNumberFormat="0" applyFill="0" applyBorder="0" applyAlignment="0" applyProtection="0"/>
    <xf numFmtId="164" fontId="4" fillId="0" borderId="0" applyNumberFormat="0" applyFill="0" applyBorder="0" applyProtection="0">
      <alignment vertical="center" wrapText="1"/>
      <protection locked="0"/>
    </xf>
    <xf numFmtId="164" fontId="8" fillId="0" borderId="0" applyNumberFormat="0" applyFill="0" applyBorder="0" applyProtection="0">
      <alignment vertical="center" wrapText="1"/>
      <protection locked="0"/>
    </xf>
    <xf numFmtId="10" fontId="4" fillId="0" borderId="0" applyFill="0" applyBorder="0" applyProtection="0">
      <alignment vertical="center" wrapText="1"/>
      <protection locked="0"/>
    </xf>
    <xf numFmtId="44" fontId="15" fillId="0" borderId="0" applyFont="0" applyFill="0" applyBorder="0" applyAlignment="0" applyProtection="0"/>
  </cellStyleXfs>
  <cellXfs count="66">
    <xf numFmtId="0" fontId="0" fillId="0" borderId="0" xfId="0"/>
    <xf numFmtId="0" fontId="3" fillId="2" borderId="0" xfId="0" applyFont="1" applyFill="1"/>
    <xf numFmtId="49" fontId="3" fillId="2" borderId="0" xfId="0" applyNumberFormat="1" applyFont="1" applyFill="1" applyAlignment="1">
      <alignment horizontal="left"/>
    </xf>
    <xf numFmtId="0" fontId="5" fillId="0" borderId="0" xfId="0" applyFont="1"/>
    <xf numFmtId="0" fontId="5" fillId="3" borderId="0" xfId="0" applyFont="1" applyFill="1"/>
    <xf numFmtId="0" fontId="5" fillId="0" borderId="0" xfId="0" applyFont="1" applyAlignment="1">
      <alignment horizontal="left"/>
    </xf>
    <xf numFmtId="0" fontId="2" fillId="0" borderId="0" xfId="0" applyFont="1"/>
    <xf numFmtId="0" fontId="2" fillId="0" borderId="0" xfId="0" applyFont="1" applyAlignment="1">
      <alignment horizontal="left"/>
    </xf>
    <xf numFmtId="49" fontId="2" fillId="0" borderId="0" xfId="0" applyNumberFormat="1" applyFont="1" applyAlignment="1">
      <alignment horizontal="left"/>
    </xf>
    <xf numFmtId="0" fontId="2" fillId="4" borderId="0" xfId="0" applyFont="1" applyFill="1"/>
    <xf numFmtId="0" fontId="9" fillId="0" borderId="0" xfId="1" applyFont="1"/>
    <xf numFmtId="0" fontId="2" fillId="4" borderId="0" xfId="0" applyFont="1" applyFill="1" applyAlignment="1">
      <alignment horizontal="left"/>
    </xf>
    <xf numFmtId="0" fontId="2" fillId="0" borderId="0" xfId="0" applyFont="1" applyAlignment="1">
      <alignment vertical="center"/>
    </xf>
    <xf numFmtId="0" fontId="1" fillId="0" borderId="0" xfId="0" applyFont="1"/>
    <xf numFmtId="49" fontId="1" fillId="4" borderId="0" xfId="0" applyNumberFormat="1" applyFont="1" applyFill="1" applyAlignment="1">
      <alignment horizontal="left"/>
    </xf>
    <xf numFmtId="0" fontId="10" fillId="0" borderId="0" xfId="0" applyFont="1"/>
    <xf numFmtId="0" fontId="1" fillId="4" borderId="0" xfId="0" applyFont="1" applyFill="1" applyAlignment="1">
      <alignment horizontal="left"/>
    </xf>
    <xf numFmtId="0" fontId="1" fillId="4" borderId="0" xfId="0" applyFont="1" applyFill="1"/>
    <xf numFmtId="0" fontId="1" fillId="0" borderId="0" xfId="0" applyFont="1" applyAlignment="1">
      <alignment vertical="top"/>
    </xf>
    <xf numFmtId="0" fontId="5" fillId="0" borderId="0" xfId="0" applyFont="1" applyAlignment="1">
      <alignment horizontal="center"/>
    </xf>
    <xf numFmtId="0" fontId="3" fillId="3" borderId="0" xfId="0" applyFont="1" applyFill="1" applyAlignment="1">
      <alignment horizontal="left"/>
    </xf>
    <xf numFmtId="0" fontId="2" fillId="3" borderId="0" xfId="0" applyFont="1" applyFill="1"/>
    <xf numFmtId="49" fontId="1" fillId="0" borderId="0" xfId="0" applyNumberFormat="1" applyFont="1" applyAlignment="1">
      <alignment horizontal="left"/>
    </xf>
    <xf numFmtId="14" fontId="1" fillId="0" borderId="0" xfId="0" applyNumberFormat="1" applyFont="1" applyAlignment="1">
      <alignment horizontal="left"/>
    </xf>
    <xf numFmtId="14" fontId="2" fillId="0" borderId="0" xfId="0" applyNumberFormat="1" applyFont="1" applyAlignment="1">
      <alignment horizontal="left"/>
    </xf>
    <xf numFmtId="0" fontId="1" fillId="0" borderId="0" xfId="0" applyFont="1" applyAlignment="1">
      <alignment vertical="center"/>
    </xf>
    <xf numFmtId="0" fontId="11" fillId="5" borderId="0" xfId="0" applyFont="1" applyFill="1"/>
    <xf numFmtId="49" fontId="11" fillId="5" borderId="0" xfId="0" applyNumberFormat="1" applyFont="1" applyFill="1" applyAlignment="1">
      <alignment horizontal="left"/>
    </xf>
    <xf numFmtId="0" fontId="6" fillId="0" borderId="0" xfId="0" applyFont="1"/>
    <xf numFmtId="14" fontId="6" fillId="0" borderId="0" xfId="0" applyNumberFormat="1" applyFont="1" applyAlignment="1">
      <alignment horizontal="left"/>
    </xf>
    <xf numFmtId="0" fontId="6" fillId="6" borderId="0" xfId="0" applyFont="1" applyFill="1"/>
    <xf numFmtId="0" fontId="6" fillId="4" borderId="0" xfId="0" applyFont="1" applyFill="1" applyAlignment="1">
      <alignment horizontal="left"/>
    </xf>
    <xf numFmtId="0" fontId="13" fillId="0" borderId="0" xfId="0" applyFont="1" applyAlignment="1">
      <alignment horizontal="left"/>
    </xf>
    <xf numFmtId="0" fontId="0" fillId="0" borderId="0" xfId="0" applyAlignment="1">
      <alignment horizontal="left"/>
    </xf>
    <xf numFmtId="0" fontId="12" fillId="4" borderId="1" xfId="0" applyFont="1" applyFill="1" applyBorder="1"/>
    <xf numFmtId="0" fontId="14" fillId="7" borderId="1" xfId="0" applyFont="1" applyFill="1" applyBorder="1" applyAlignment="1">
      <alignment horizontal="left"/>
    </xf>
    <xf numFmtId="0" fontId="1" fillId="0" borderId="1" xfId="0" applyFont="1" applyBorder="1" applyAlignment="1">
      <alignment horizontal="left" vertical="center"/>
    </xf>
    <xf numFmtId="0" fontId="1" fillId="0" borderId="0" xfId="0" applyFont="1" applyAlignment="1">
      <alignment horizontal="left" vertical="center"/>
    </xf>
    <xf numFmtId="0" fontId="12" fillId="0" borderId="1" xfId="0" applyFont="1" applyBorder="1"/>
    <xf numFmtId="0" fontId="17" fillId="0" borderId="1" xfId="0" applyFont="1" applyBorder="1" applyAlignment="1">
      <alignment horizontal="left" vertical="center" wrapText="1"/>
    </xf>
    <xf numFmtId="0" fontId="17" fillId="0" borderId="1" xfId="0" applyFont="1" applyBorder="1" applyAlignment="1">
      <alignment vertical="center"/>
    </xf>
    <xf numFmtId="0" fontId="17" fillId="0" borderId="1" xfId="0" applyFont="1" applyBorder="1" applyAlignment="1">
      <alignment horizontal="center" vertical="center" wrapText="1"/>
    </xf>
    <xf numFmtId="4" fontId="17" fillId="0" borderId="1" xfId="5" applyNumberFormat="1" applyFont="1" applyBorder="1" applyAlignment="1">
      <alignment horizontal="right" vertical="center" wrapText="1"/>
    </xf>
    <xf numFmtId="0" fontId="17" fillId="8" borderId="1" xfId="0" applyFont="1" applyFill="1" applyBorder="1" applyAlignment="1">
      <alignment vertical="center" wrapText="1"/>
    </xf>
    <xf numFmtId="0" fontId="17" fillId="8" borderId="1" xfId="0" applyFont="1" applyFill="1" applyBorder="1" applyAlignment="1">
      <alignment horizontal="center" vertical="center" wrapText="1"/>
    </xf>
    <xf numFmtId="4" fontId="17" fillId="8" borderId="1" xfId="5" applyNumberFormat="1" applyFont="1" applyFill="1" applyBorder="1" applyAlignment="1">
      <alignment horizontal="right" vertical="center" wrapText="1"/>
    </xf>
    <xf numFmtId="0" fontId="18" fillId="8" borderId="1" xfId="0" applyFont="1" applyFill="1" applyBorder="1"/>
    <xf numFmtId="0" fontId="17" fillId="9" borderId="1" xfId="0" applyFont="1" applyFill="1" applyBorder="1" applyAlignment="1">
      <alignment vertical="center" wrapText="1"/>
    </xf>
    <xf numFmtId="0" fontId="17" fillId="9" borderId="1" xfId="0" applyFont="1" applyFill="1" applyBorder="1" applyAlignment="1">
      <alignment horizontal="center" vertical="center" wrapText="1"/>
    </xf>
    <xf numFmtId="4" fontId="19" fillId="9" borderId="1" xfId="5" applyNumberFormat="1" applyFont="1" applyFill="1" applyBorder="1" applyAlignment="1">
      <alignment horizontal="right" vertical="center" wrapText="1"/>
    </xf>
    <xf numFmtId="0" fontId="0" fillId="0" borderId="1" xfId="0" applyBorder="1"/>
    <xf numFmtId="4" fontId="0" fillId="0" borderId="1" xfId="5" applyNumberFormat="1" applyFont="1" applyBorder="1"/>
    <xf numFmtId="0" fontId="17" fillId="10" borderId="1" xfId="0" applyFont="1" applyFill="1" applyBorder="1" applyAlignment="1">
      <alignment vertical="center"/>
    </xf>
    <xf numFmtId="0" fontId="17" fillId="10" borderId="1" xfId="0" applyFont="1" applyFill="1" applyBorder="1" applyAlignment="1">
      <alignment horizontal="center" vertical="center" wrapText="1"/>
    </xf>
    <xf numFmtId="4" fontId="17" fillId="10" borderId="1" xfId="5" applyNumberFormat="1" applyFont="1" applyFill="1" applyBorder="1" applyAlignment="1">
      <alignment horizontal="right" vertical="center" wrapText="1"/>
    </xf>
    <xf numFmtId="0" fontId="17" fillId="0" borderId="1" xfId="0" applyFont="1" applyBorder="1" applyAlignment="1">
      <alignment vertical="center" wrapText="1"/>
    </xf>
    <xf numFmtId="0" fontId="17" fillId="9" borderId="1" xfId="0" applyFont="1" applyFill="1" applyBorder="1" applyAlignment="1">
      <alignment vertical="center"/>
    </xf>
    <xf numFmtId="4" fontId="17" fillId="9" borderId="1" xfId="5" applyNumberFormat="1" applyFont="1" applyFill="1" applyBorder="1" applyAlignment="1">
      <alignment horizontal="right" vertical="center" wrapText="1"/>
    </xf>
    <xf numFmtId="0" fontId="1" fillId="0" borderId="1" xfId="0" applyFont="1" applyBorder="1" applyAlignment="1">
      <alignment vertical="center"/>
    </xf>
    <xf numFmtId="4" fontId="1" fillId="0" borderId="1" xfId="5" applyNumberFormat="1" applyFont="1" applyBorder="1" applyAlignment="1">
      <alignment vertical="center"/>
    </xf>
    <xf numFmtId="0" fontId="20" fillId="0" borderId="1" xfId="0" applyFont="1" applyBorder="1" applyAlignment="1">
      <alignment vertical="center"/>
    </xf>
    <xf numFmtId="0" fontId="20" fillId="0" borderId="1" xfId="0" applyFont="1" applyBorder="1" applyAlignment="1">
      <alignment horizontal="center" vertical="center" wrapText="1"/>
    </xf>
    <xf numFmtId="4" fontId="20" fillId="0" borderId="1" xfId="5" applyNumberFormat="1" applyFont="1" applyBorder="1" applyAlignment="1">
      <alignment vertical="center" wrapText="1"/>
    </xf>
    <xf numFmtId="0" fontId="20" fillId="0" borderId="1" xfId="0" applyFont="1" applyBorder="1" applyAlignment="1">
      <alignment horizontal="left" vertical="center" wrapText="1"/>
    </xf>
    <xf numFmtId="0" fontId="16" fillId="0" borderId="0" xfId="0" applyFont="1"/>
    <xf numFmtId="49" fontId="1" fillId="4" borderId="0" xfId="0" applyNumberFormat="1" applyFont="1" applyFill="1" applyAlignment="1">
      <alignment horizontal="left" vertical="top" wrapText="1"/>
    </xf>
  </cellXfs>
  <cellStyles count="6">
    <cellStyle name="fett" xfId="3" xr:uid="{A3BD50A3-F0D4-2241-86E7-625387434A45}"/>
    <cellStyle name="Link" xfId="1" builtinId="8"/>
    <cellStyle name="Prozent 2" xfId="4" xr:uid="{6F231B91-9839-DC4A-A8D8-1F964DC7275F}"/>
    <cellStyle name="Standard" xfId="0" builtinId="0"/>
    <cellStyle name="Standard 2" xfId="2" xr:uid="{79B33442-F035-134D-8E96-1478489B7A43}"/>
    <cellStyle name="Währung" xfId="5"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eoportal-bw.de/" TargetMode="External"/><Relationship Id="rId1" Type="http://schemas.openxmlformats.org/officeDocument/2006/relationships/hyperlink" Target="https://www.gutachterausschuesse-bw.de/borisbw/?lang=d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2FE0-2778-D04D-A58B-12910B7BA1D8}">
  <dimension ref="A1:Q122"/>
  <sheetViews>
    <sheetView tabSelected="1" topLeftCell="A19" zoomScale="90" zoomScaleNormal="90" workbookViewId="0">
      <selection activeCell="M65" sqref="M65"/>
    </sheetView>
  </sheetViews>
  <sheetFormatPr baseColWidth="10" defaultColWidth="10.83203125" defaultRowHeight="15" x14ac:dyDescent="0.2"/>
  <cols>
    <col min="1" max="1" width="31" style="6" bestFit="1" customWidth="1"/>
    <col min="2" max="2" width="43.1640625" style="8" bestFit="1" customWidth="1"/>
    <col min="3" max="3" width="3.6640625" style="3" customWidth="1"/>
    <col min="4" max="4" width="15" style="6" customWidth="1"/>
    <col min="5" max="5" width="13.83203125" style="6" customWidth="1"/>
    <col min="6" max="7" width="13.33203125" style="6" customWidth="1"/>
    <col min="8" max="8" width="15" style="6" customWidth="1"/>
    <col min="9" max="9" width="9.33203125" style="5" customWidth="1"/>
    <col min="10" max="10" width="30" style="6" customWidth="1"/>
    <col min="11" max="11" width="8.33203125" style="7" customWidth="1"/>
    <col min="12" max="12" width="5.6640625" style="13" customWidth="1"/>
    <col min="13" max="13" width="35.1640625" style="13" customWidth="1"/>
    <col min="14" max="14" width="10.83203125" style="6"/>
    <col min="15" max="15" width="5.6640625" style="6" customWidth="1"/>
    <col min="16" max="16" width="13.6640625" style="6" customWidth="1"/>
    <col min="17" max="17" width="92.6640625" style="6" customWidth="1"/>
    <col min="18" max="18" width="15.33203125" style="6" customWidth="1"/>
    <col min="19" max="20" width="10.83203125" style="6"/>
    <col min="21" max="21" width="14.83203125" style="6" customWidth="1"/>
    <col min="22" max="24" width="10.83203125" style="6"/>
    <col min="25" max="25" width="20.5" style="6" customWidth="1"/>
    <col min="26" max="16384" width="10.83203125" style="6"/>
  </cols>
  <sheetData>
    <row r="1" spans="1:17" x14ac:dyDescent="0.2">
      <c r="A1" s="1" t="s">
        <v>26</v>
      </c>
      <c r="B1" s="2"/>
      <c r="C1" s="4"/>
      <c r="E1" s="20" t="s">
        <v>20</v>
      </c>
      <c r="F1" s="21"/>
      <c r="G1" s="21"/>
      <c r="I1" s="20" t="s">
        <v>31</v>
      </c>
      <c r="J1" s="21"/>
      <c r="L1" s="20" t="s">
        <v>32</v>
      </c>
      <c r="M1" s="20" t="s">
        <v>32</v>
      </c>
      <c r="O1" s="20" t="s">
        <v>82</v>
      </c>
      <c r="P1" s="20"/>
      <c r="Q1" s="20" t="s">
        <v>83</v>
      </c>
    </row>
    <row r="2" spans="1:17" x14ac:dyDescent="0.2">
      <c r="A2" s="6" t="s">
        <v>27</v>
      </c>
      <c r="B2" s="7" t="str">
        <f>VLOOKUP(C2,I3:J63,2,0)</f>
        <v>Gutachten</v>
      </c>
      <c r="C2" s="15">
        <v>1</v>
      </c>
      <c r="E2" s="5"/>
      <c r="F2" s="19">
        <v>1</v>
      </c>
      <c r="G2" s="19">
        <v>2</v>
      </c>
      <c r="J2" s="19">
        <v>1</v>
      </c>
      <c r="L2" s="5"/>
      <c r="M2" s="19">
        <v>1</v>
      </c>
      <c r="O2" s="5"/>
    </row>
    <row r="3" spans="1:17" ht="18" customHeight="1" x14ac:dyDescent="0.2">
      <c r="A3" s="6" t="s">
        <v>32</v>
      </c>
      <c r="B3" s="25" t="str">
        <f>VLOOKUP(C3,L3:M63,2,0)</f>
        <v>Schäden an Gebäuden</v>
      </c>
      <c r="C3" s="15">
        <v>1</v>
      </c>
      <c r="E3" s="5" t="s">
        <v>26</v>
      </c>
      <c r="F3" s="23">
        <v>45658</v>
      </c>
      <c r="G3" s="23"/>
      <c r="I3" s="5">
        <v>1</v>
      </c>
      <c r="J3" s="8" t="s">
        <v>26</v>
      </c>
      <c r="L3" s="5">
        <v>1</v>
      </c>
      <c r="M3" s="22" t="s">
        <v>51</v>
      </c>
      <c r="O3" s="5">
        <v>1</v>
      </c>
      <c r="P3" s="13" t="s">
        <v>85</v>
      </c>
      <c r="Q3" s="13" t="s">
        <v>81</v>
      </c>
    </row>
    <row r="4" spans="1:17" x14ac:dyDescent="0.2">
      <c r="A4" s="6" t="s">
        <v>20</v>
      </c>
      <c r="B4" s="24">
        <f>F3</f>
        <v>45658</v>
      </c>
      <c r="E4" s="5" t="s">
        <v>33</v>
      </c>
      <c r="F4" s="23">
        <v>45659</v>
      </c>
      <c r="G4" s="23"/>
      <c r="I4" s="5">
        <v>2</v>
      </c>
      <c r="J4" s="22" t="s">
        <v>25</v>
      </c>
      <c r="L4" s="5">
        <v>2</v>
      </c>
      <c r="M4" s="22" t="s">
        <v>55</v>
      </c>
      <c r="O4" s="5">
        <v>2</v>
      </c>
      <c r="P4" s="13" t="s">
        <v>84</v>
      </c>
      <c r="Q4" s="13" t="s">
        <v>81</v>
      </c>
    </row>
    <row r="5" spans="1:17" ht="16" x14ac:dyDescent="0.2">
      <c r="E5" s="5" t="s">
        <v>60</v>
      </c>
      <c r="F5" s="23">
        <v>45660</v>
      </c>
      <c r="G5" s="23" t="s">
        <v>93</v>
      </c>
      <c r="I5" s="5">
        <v>3</v>
      </c>
      <c r="J5" s="6" t="s">
        <v>28</v>
      </c>
      <c r="L5" s="5">
        <v>3</v>
      </c>
      <c r="M5" t="s">
        <v>151</v>
      </c>
      <c r="Q5" s="25"/>
    </row>
    <row r="6" spans="1:17" x14ac:dyDescent="0.2">
      <c r="A6" s="1" t="s">
        <v>33</v>
      </c>
      <c r="B6" s="2"/>
      <c r="E6" s="5" t="s">
        <v>61</v>
      </c>
      <c r="F6" s="23">
        <v>45661</v>
      </c>
      <c r="G6" s="23" t="s">
        <v>94</v>
      </c>
      <c r="I6" s="5">
        <v>4</v>
      </c>
      <c r="J6" s="6" t="s">
        <v>30</v>
      </c>
      <c r="L6" s="5">
        <v>4</v>
      </c>
      <c r="O6" s="5"/>
      <c r="Q6" s="25"/>
    </row>
    <row r="7" spans="1:17" x14ac:dyDescent="0.2">
      <c r="A7" s="6" t="s">
        <v>20</v>
      </c>
      <c r="B7" s="24">
        <f>F4</f>
        <v>45659</v>
      </c>
      <c r="E7" s="5" t="s">
        <v>63</v>
      </c>
      <c r="F7" s="23">
        <v>45662</v>
      </c>
      <c r="G7" s="23" t="s">
        <v>66</v>
      </c>
      <c r="I7" s="5">
        <v>5</v>
      </c>
      <c r="J7" s="6" t="s">
        <v>29</v>
      </c>
      <c r="L7" s="5">
        <v>5</v>
      </c>
      <c r="O7" s="5"/>
      <c r="Q7" s="25"/>
    </row>
    <row r="8" spans="1:17" ht="16" customHeight="1" x14ac:dyDescent="0.2">
      <c r="A8" s="18" t="s">
        <v>33</v>
      </c>
      <c r="B8" s="65" t="s">
        <v>50</v>
      </c>
      <c r="E8" s="5" t="s">
        <v>67</v>
      </c>
      <c r="F8" s="23">
        <v>45663</v>
      </c>
      <c r="G8" s="23" t="s">
        <v>79</v>
      </c>
      <c r="I8" s="5">
        <v>6</v>
      </c>
      <c r="J8" s="13" t="s">
        <v>49</v>
      </c>
      <c r="L8" s="5">
        <v>6</v>
      </c>
      <c r="O8" s="5"/>
      <c r="Q8" s="25"/>
    </row>
    <row r="9" spans="1:17" x14ac:dyDescent="0.2">
      <c r="B9" s="65"/>
      <c r="E9" s="5" t="s">
        <v>69</v>
      </c>
      <c r="F9" s="23">
        <v>45664</v>
      </c>
      <c r="G9" s="23" t="s">
        <v>80</v>
      </c>
      <c r="I9" s="5">
        <v>7</v>
      </c>
      <c r="L9" s="5">
        <v>7</v>
      </c>
      <c r="O9" s="5"/>
      <c r="Q9" s="25"/>
    </row>
    <row r="10" spans="1:17" x14ac:dyDescent="0.2">
      <c r="B10" s="65"/>
      <c r="I10" s="5">
        <v>8</v>
      </c>
      <c r="J10" s="13"/>
      <c r="L10" s="5">
        <v>8</v>
      </c>
      <c r="O10" s="5"/>
      <c r="Q10" s="25"/>
    </row>
    <row r="11" spans="1:17" x14ac:dyDescent="0.2">
      <c r="E11" s="5"/>
      <c r="F11" s="8"/>
      <c r="G11" s="8"/>
      <c r="I11" s="5">
        <v>9</v>
      </c>
      <c r="L11" s="5">
        <v>9</v>
      </c>
      <c r="O11" s="5"/>
    </row>
    <row r="12" spans="1:17" x14ac:dyDescent="0.2">
      <c r="A12" s="1" t="s">
        <v>17</v>
      </c>
      <c r="B12" s="2"/>
      <c r="E12" s="5"/>
      <c r="F12" s="8"/>
      <c r="G12" s="8"/>
      <c r="I12" s="5">
        <v>10</v>
      </c>
      <c r="J12" s="13" t="s">
        <v>65</v>
      </c>
      <c r="L12" s="5">
        <v>10</v>
      </c>
      <c r="M12" s="13" t="s">
        <v>54</v>
      </c>
      <c r="O12" s="5"/>
    </row>
    <row r="13" spans="1:17" x14ac:dyDescent="0.2">
      <c r="L13" s="5">
        <v>11</v>
      </c>
      <c r="M13" s="13" t="s">
        <v>56</v>
      </c>
      <c r="O13" s="5"/>
    </row>
    <row r="14" spans="1:17" x14ac:dyDescent="0.2">
      <c r="A14" s="6" t="s">
        <v>6</v>
      </c>
      <c r="B14" s="8" t="s">
        <v>18</v>
      </c>
      <c r="L14" s="5">
        <v>12</v>
      </c>
      <c r="M14" s="13" t="s">
        <v>57</v>
      </c>
      <c r="O14" s="5"/>
    </row>
    <row r="15" spans="1:17" x14ac:dyDescent="0.2">
      <c r="A15" s="6" t="s">
        <v>7</v>
      </c>
      <c r="B15" s="8" t="s">
        <v>19</v>
      </c>
      <c r="L15" s="5">
        <v>13</v>
      </c>
      <c r="O15" s="5"/>
    </row>
    <row r="16" spans="1:17" x14ac:dyDescent="0.2">
      <c r="A16" s="6" t="s">
        <v>8</v>
      </c>
      <c r="B16" s="8" t="str">
        <f>A_Gutachter_Vorname&amp;" "&amp;A_Gutachter_Nachname</f>
        <v>Stefan Hubenschmid</v>
      </c>
      <c r="L16" s="5">
        <v>14</v>
      </c>
      <c r="O16" s="5"/>
    </row>
    <row r="17" spans="1:15" x14ac:dyDescent="0.2">
      <c r="C17" s="6"/>
      <c r="I17" s="6"/>
      <c r="K17" s="6"/>
      <c r="L17" s="5">
        <v>15</v>
      </c>
      <c r="O17" s="5"/>
    </row>
    <row r="18" spans="1:15" x14ac:dyDescent="0.2">
      <c r="A18" s="1" t="s">
        <v>0</v>
      </c>
      <c r="B18" s="2"/>
      <c r="C18" s="6"/>
      <c r="I18" s="6"/>
      <c r="K18" s="6"/>
      <c r="L18" s="5">
        <v>16</v>
      </c>
      <c r="O18" s="5"/>
    </row>
    <row r="19" spans="1:15" x14ac:dyDescent="0.2">
      <c r="C19" s="6"/>
      <c r="I19" s="6"/>
      <c r="K19" s="6"/>
      <c r="L19" s="5">
        <v>17</v>
      </c>
      <c r="O19" s="5"/>
    </row>
    <row r="20" spans="1:15" x14ac:dyDescent="0.2">
      <c r="A20" s="6" t="s">
        <v>2</v>
      </c>
      <c r="B20" s="14" t="s">
        <v>95</v>
      </c>
      <c r="C20" s="6"/>
      <c r="I20" s="6"/>
      <c r="K20" s="6"/>
      <c r="L20" s="5">
        <v>18</v>
      </c>
      <c r="O20" s="5"/>
    </row>
    <row r="21" spans="1:15" x14ac:dyDescent="0.2">
      <c r="A21" s="6" t="s">
        <v>1</v>
      </c>
      <c r="B21" s="14" t="s">
        <v>96</v>
      </c>
      <c r="C21" s="6"/>
      <c r="I21" s="6"/>
      <c r="K21" s="6"/>
      <c r="L21" s="5">
        <v>19</v>
      </c>
      <c r="O21" s="5"/>
    </row>
    <row r="22" spans="1:15" x14ac:dyDescent="0.2">
      <c r="A22" s="6" t="s">
        <v>0</v>
      </c>
      <c r="B22" s="7" t="str">
        <f>A_ProjektNr&amp;" "&amp;A_Projektname</f>
        <v>2301.000 Mustermann</v>
      </c>
      <c r="C22" s="6"/>
      <c r="I22" s="6"/>
      <c r="K22" s="6"/>
      <c r="L22" s="5">
        <v>20</v>
      </c>
      <c r="M22" s="13" t="s">
        <v>53</v>
      </c>
      <c r="O22" s="5"/>
    </row>
    <row r="23" spans="1:15" x14ac:dyDescent="0.2">
      <c r="C23" s="6"/>
      <c r="I23" s="6"/>
      <c r="K23" s="6"/>
      <c r="L23" s="5">
        <v>21</v>
      </c>
      <c r="M23" s="13" t="s">
        <v>59</v>
      </c>
      <c r="O23" s="5"/>
    </row>
    <row r="24" spans="1:15" x14ac:dyDescent="0.2">
      <c r="A24" s="1" t="s">
        <v>3</v>
      </c>
      <c r="B24" s="2"/>
      <c r="C24" s="6"/>
      <c r="I24" s="6"/>
      <c r="K24" s="6"/>
      <c r="L24" s="5">
        <v>22</v>
      </c>
      <c r="M24" s="13" t="s">
        <v>58</v>
      </c>
      <c r="O24" s="5"/>
    </row>
    <row r="25" spans="1:15" x14ac:dyDescent="0.2">
      <c r="C25" s="6"/>
      <c r="I25" s="6"/>
      <c r="K25" s="6"/>
      <c r="L25" s="5">
        <v>23</v>
      </c>
      <c r="O25" s="5"/>
    </row>
    <row r="26" spans="1:15" x14ac:dyDescent="0.2">
      <c r="A26" s="6" t="s">
        <v>4</v>
      </c>
      <c r="B26" s="16"/>
      <c r="C26" s="6"/>
      <c r="I26" s="6"/>
      <c r="K26" s="6"/>
      <c r="L26" s="5">
        <v>24</v>
      </c>
      <c r="M26" s="13" t="s">
        <v>154</v>
      </c>
      <c r="O26" s="5"/>
    </row>
    <row r="27" spans="1:15" x14ac:dyDescent="0.2">
      <c r="A27" s="6" t="s">
        <v>9</v>
      </c>
      <c r="B27" s="11"/>
      <c r="C27" s="6"/>
      <c r="I27" s="6"/>
      <c r="K27" s="6"/>
      <c r="L27" s="5">
        <v>25</v>
      </c>
      <c r="O27" s="5"/>
    </row>
    <row r="28" spans="1:15" x14ac:dyDescent="0.2">
      <c r="A28" s="6" t="s">
        <v>5</v>
      </c>
      <c r="B28" s="16" t="s">
        <v>97</v>
      </c>
      <c r="C28" s="6"/>
      <c r="I28" s="6"/>
      <c r="K28" s="6"/>
      <c r="L28" s="5">
        <v>26</v>
      </c>
      <c r="M28" s="13" t="s">
        <v>153</v>
      </c>
      <c r="O28" s="5"/>
    </row>
    <row r="29" spans="1:15" x14ac:dyDescent="0.2">
      <c r="A29" s="6" t="s">
        <v>6</v>
      </c>
      <c r="B29" s="16" t="s">
        <v>98</v>
      </c>
      <c r="C29" s="6"/>
      <c r="I29" s="6"/>
      <c r="K29" s="6"/>
      <c r="L29" s="5">
        <v>27</v>
      </c>
      <c r="O29" s="5"/>
    </row>
    <row r="30" spans="1:15" x14ac:dyDescent="0.2">
      <c r="A30" s="6" t="s">
        <v>7</v>
      </c>
      <c r="B30" s="16" t="s">
        <v>96</v>
      </c>
      <c r="C30" s="6"/>
      <c r="I30" s="6"/>
      <c r="K30" s="6"/>
      <c r="L30" s="5">
        <v>28</v>
      </c>
      <c r="M30" s="13" t="s">
        <v>155</v>
      </c>
      <c r="O30" s="5"/>
    </row>
    <row r="31" spans="1:15" x14ac:dyDescent="0.2">
      <c r="A31" s="6" t="s">
        <v>8</v>
      </c>
      <c r="B31" s="7" t="str">
        <f>A_AG_Vorname&amp; " "&amp; A_AG_Nachname</f>
        <v>Max Mustermann</v>
      </c>
      <c r="C31" s="6"/>
      <c r="I31" s="6"/>
      <c r="K31" s="6"/>
      <c r="L31" s="5">
        <v>29</v>
      </c>
      <c r="O31" s="5"/>
    </row>
    <row r="32" spans="1:15" x14ac:dyDescent="0.2">
      <c r="B32" s="7"/>
      <c r="C32" s="6"/>
      <c r="I32" s="6"/>
      <c r="K32" s="6"/>
      <c r="L32" s="5">
        <v>30</v>
      </c>
      <c r="M32" s="13" t="s">
        <v>156</v>
      </c>
      <c r="O32" s="5"/>
    </row>
    <row r="33" spans="1:15" x14ac:dyDescent="0.2">
      <c r="A33" s="6" t="s">
        <v>10</v>
      </c>
      <c r="B33" s="16" t="s">
        <v>99</v>
      </c>
      <c r="C33" s="6"/>
      <c r="I33" s="6"/>
      <c r="K33" s="6"/>
      <c r="L33" s="5">
        <v>31</v>
      </c>
      <c r="O33" s="5"/>
    </row>
    <row r="34" spans="1:15" x14ac:dyDescent="0.2">
      <c r="A34" s="6" t="s">
        <v>11</v>
      </c>
      <c r="B34" s="16"/>
      <c r="C34" s="6"/>
      <c r="I34" s="6"/>
      <c r="K34" s="6"/>
      <c r="L34" s="5">
        <v>32</v>
      </c>
      <c r="O34" s="5"/>
    </row>
    <row r="35" spans="1:15" x14ac:dyDescent="0.2">
      <c r="A35" s="6" t="s">
        <v>12</v>
      </c>
      <c r="B35" s="16">
        <v>78000</v>
      </c>
      <c r="C35" s="6"/>
      <c r="I35" s="6"/>
      <c r="K35" s="6"/>
      <c r="L35" s="5">
        <v>33</v>
      </c>
      <c r="O35" s="5"/>
    </row>
    <row r="36" spans="1:15" x14ac:dyDescent="0.2">
      <c r="A36" s="6" t="s">
        <v>13</v>
      </c>
      <c r="B36" s="16" t="s">
        <v>100</v>
      </c>
      <c r="C36" s="6"/>
      <c r="I36" s="6"/>
      <c r="K36" s="6"/>
      <c r="L36" s="5">
        <v>34</v>
      </c>
      <c r="O36" s="5"/>
    </row>
    <row r="37" spans="1:15" x14ac:dyDescent="0.2">
      <c r="A37" s="6" t="s">
        <v>14</v>
      </c>
      <c r="B37" s="7" t="str">
        <f>A_AG_PLZ&amp;" "&amp;A_AG_Ort</f>
        <v>78000 Musterstadt</v>
      </c>
      <c r="C37" s="6"/>
      <c r="I37" s="6"/>
      <c r="K37" s="6"/>
      <c r="L37" s="5">
        <v>35</v>
      </c>
      <c r="O37" s="5"/>
    </row>
    <row r="38" spans="1:15" x14ac:dyDescent="0.2">
      <c r="A38" s="6" t="s">
        <v>15</v>
      </c>
      <c r="B38" s="11"/>
      <c r="C38" s="6"/>
      <c r="I38" s="6"/>
      <c r="K38" s="6"/>
      <c r="L38" s="5">
        <v>36</v>
      </c>
      <c r="O38" s="5"/>
    </row>
    <row r="39" spans="1:15" x14ac:dyDescent="0.2">
      <c r="C39" s="6"/>
      <c r="I39" s="6"/>
      <c r="K39" s="6"/>
      <c r="L39" s="5">
        <v>37</v>
      </c>
      <c r="O39" s="5"/>
    </row>
    <row r="40" spans="1:15" x14ac:dyDescent="0.2">
      <c r="A40" s="1" t="s">
        <v>16</v>
      </c>
      <c r="B40" s="2"/>
      <c r="C40" s="6"/>
      <c r="I40" s="6"/>
      <c r="K40" s="6"/>
      <c r="L40" s="5">
        <v>38</v>
      </c>
      <c r="O40" s="5"/>
    </row>
    <row r="41" spans="1:15" x14ac:dyDescent="0.2">
      <c r="C41" s="6"/>
      <c r="I41" s="6"/>
      <c r="K41" s="6"/>
      <c r="L41" s="5">
        <v>39</v>
      </c>
      <c r="O41" s="5"/>
    </row>
    <row r="42" spans="1:15" x14ac:dyDescent="0.2">
      <c r="A42" s="6" t="s">
        <v>10</v>
      </c>
      <c r="B42" s="31" t="s">
        <v>101</v>
      </c>
      <c r="C42" s="6"/>
      <c r="I42" s="6"/>
      <c r="K42" s="6"/>
      <c r="L42" s="5">
        <v>40</v>
      </c>
      <c r="M42" s="13" t="s">
        <v>158</v>
      </c>
      <c r="O42" s="5"/>
    </row>
    <row r="43" spans="1:15" x14ac:dyDescent="0.2">
      <c r="A43" s="6" t="s">
        <v>11</v>
      </c>
      <c r="B43" s="16"/>
      <c r="C43" s="6"/>
      <c r="I43" s="6"/>
      <c r="K43" s="6"/>
      <c r="L43" s="5">
        <v>41</v>
      </c>
      <c r="O43" s="5"/>
    </row>
    <row r="44" spans="1:15" x14ac:dyDescent="0.2">
      <c r="A44" s="6" t="s">
        <v>12</v>
      </c>
      <c r="B44" s="16">
        <v>78099</v>
      </c>
      <c r="C44" s="6"/>
      <c r="I44" s="6"/>
      <c r="K44" s="6"/>
      <c r="L44" s="5">
        <v>42</v>
      </c>
      <c r="M44" s="13" t="s">
        <v>159</v>
      </c>
      <c r="O44" s="5"/>
    </row>
    <row r="45" spans="1:15" x14ac:dyDescent="0.2">
      <c r="A45" s="6" t="s">
        <v>13</v>
      </c>
      <c r="B45" s="16" t="s">
        <v>102</v>
      </c>
      <c r="C45" s="6"/>
      <c r="I45" s="6"/>
      <c r="K45" s="6"/>
      <c r="L45" s="5">
        <v>43</v>
      </c>
      <c r="O45" s="5"/>
    </row>
    <row r="46" spans="1:15" x14ac:dyDescent="0.2">
      <c r="A46" s="6" t="s">
        <v>14</v>
      </c>
      <c r="B46" s="7" t="str">
        <f>A_OJ_PLZ&amp;" "&amp;A_OJ_Ort</f>
        <v>78099 Musterdorf</v>
      </c>
      <c r="C46" s="6"/>
      <c r="I46" s="6"/>
      <c r="K46" s="6"/>
      <c r="L46" s="5">
        <v>44</v>
      </c>
      <c r="O46" s="5"/>
    </row>
    <row r="47" spans="1:15" x14ac:dyDescent="0.2">
      <c r="A47" s="6" t="s">
        <v>15</v>
      </c>
      <c r="B47" s="11"/>
      <c r="C47" s="6"/>
      <c r="I47" s="6"/>
      <c r="K47" s="6"/>
      <c r="L47" s="5">
        <v>45</v>
      </c>
      <c r="O47" s="5"/>
    </row>
    <row r="48" spans="1:15" x14ac:dyDescent="0.2">
      <c r="B48" s="6"/>
      <c r="C48" s="6"/>
      <c r="I48" s="6"/>
      <c r="K48" s="6"/>
      <c r="L48" s="5">
        <v>46</v>
      </c>
      <c r="O48" s="5"/>
    </row>
    <row r="49" spans="1:15" x14ac:dyDescent="0.2">
      <c r="A49" s="6" t="s">
        <v>37</v>
      </c>
      <c r="B49" s="11"/>
      <c r="C49" s="6"/>
      <c r="I49" s="6"/>
      <c r="K49" s="6"/>
      <c r="L49" s="5">
        <v>47</v>
      </c>
      <c r="O49" s="5"/>
    </row>
    <row r="50" spans="1:15" x14ac:dyDescent="0.2">
      <c r="B50" s="6"/>
      <c r="C50" s="6"/>
      <c r="I50" s="6"/>
      <c r="K50" s="6"/>
      <c r="L50" s="5">
        <v>48</v>
      </c>
      <c r="O50" s="5"/>
    </row>
    <row r="51" spans="1:15" ht="19" customHeight="1" x14ac:dyDescent="0.2">
      <c r="A51" s="13" t="s">
        <v>52</v>
      </c>
      <c r="B51" s="6"/>
      <c r="C51" s="6"/>
      <c r="I51" s="6"/>
      <c r="K51" s="6"/>
      <c r="L51" s="5">
        <v>49</v>
      </c>
      <c r="O51" s="5"/>
    </row>
    <row r="52" spans="1:15" x14ac:dyDescent="0.2">
      <c r="B52" s="6"/>
      <c r="C52" s="6"/>
      <c r="I52" s="6"/>
      <c r="K52" s="6"/>
      <c r="L52" s="5">
        <v>50</v>
      </c>
      <c r="M52" s="13" t="s">
        <v>64</v>
      </c>
      <c r="O52" s="5"/>
    </row>
    <row r="53" spans="1:15" x14ac:dyDescent="0.2">
      <c r="C53" s="6"/>
      <c r="I53" s="6"/>
      <c r="K53" s="6"/>
      <c r="L53" s="5">
        <v>51</v>
      </c>
      <c r="M53" s="13" t="s">
        <v>157</v>
      </c>
      <c r="O53" s="5"/>
    </row>
    <row r="54" spans="1:15" x14ac:dyDescent="0.2">
      <c r="A54" s="1" t="s">
        <v>60</v>
      </c>
      <c r="B54" s="2"/>
      <c r="C54" s="6"/>
      <c r="I54" s="6"/>
      <c r="K54" s="6"/>
      <c r="L54" s="5">
        <v>52</v>
      </c>
      <c r="O54" s="5"/>
    </row>
    <row r="55" spans="1:15" x14ac:dyDescent="0.2">
      <c r="B55" s="6"/>
      <c r="C55" s="6"/>
      <c r="I55" s="6"/>
      <c r="K55" s="6"/>
      <c r="L55" s="5">
        <v>53</v>
      </c>
      <c r="O55" s="5"/>
    </row>
    <row r="56" spans="1:15" x14ac:dyDescent="0.2">
      <c r="A56" s="6" t="s">
        <v>20</v>
      </c>
      <c r="B56" s="24">
        <f>F5</f>
        <v>45660</v>
      </c>
      <c r="C56" s="6"/>
      <c r="I56" s="6"/>
      <c r="K56" s="6"/>
      <c r="L56" s="5">
        <v>54</v>
      </c>
      <c r="O56" s="5"/>
    </row>
    <row r="57" spans="1:15" x14ac:dyDescent="0.2">
      <c r="A57" s="13" t="s">
        <v>62</v>
      </c>
      <c r="B57" s="6" t="str">
        <f>G5</f>
        <v>10:00 - 17:00</v>
      </c>
      <c r="C57" s="6"/>
      <c r="I57" s="6"/>
      <c r="K57" s="6"/>
      <c r="L57" s="5">
        <v>55</v>
      </c>
      <c r="O57" s="5"/>
    </row>
    <row r="58" spans="1:15" x14ac:dyDescent="0.2">
      <c r="B58" s="6"/>
      <c r="C58" s="6"/>
      <c r="I58" s="6"/>
      <c r="K58" s="6"/>
      <c r="L58" s="5">
        <v>56</v>
      </c>
      <c r="O58" s="5"/>
    </row>
    <row r="59" spans="1:15" x14ac:dyDescent="0.2">
      <c r="A59" s="6" t="s">
        <v>17</v>
      </c>
      <c r="B59" s="6" t="str">
        <f>A_Gutachter_Name &amp; " - Sachverständiger"</f>
        <v>Stefan Hubenschmid - Sachverständiger</v>
      </c>
      <c r="C59" s="6"/>
      <c r="I59" s="6"/>
      <c r="K59" s="6"/>
      <c r="L59" s="5">
        <v>57</v>
      </c>
      <c r="O59" s="5"/>
    </row>
    <row r="60" spans="1:15" x14ac:dyDescent="0.2">
      <c r="A60" s="6" t="s">
        <v>21</v>
      </c>
      <c r="B60" s="17" t="s">
        <v>103</v>
      </c>
      <c r="C60" s="6"/>
      <c r="I60" s="6"/>
      <c r="K60" s="6"/>
      <c r="L60" s="5">
        <v>58</v>
      </c>
      <c r="O60" s="5"/>
    </row>
    <row r="61" spans="1:15" x14ac:dyDescent="0.2">
      <c r="A61" s="6" t="s">
        <v>22</v>
      </c>
      <c r="B61" s="9"/>
      <c r="C61" s="6"/>
      <c r="I61" s="6"/>
      <c r="K61" s="6"/>
      <c r="L61" s="5">
        <v>59</v>
      </c>
      <c r="O61" s="5"/>
    </row>
    <row r="62" spans="1:15" x14ac:dyDescent="0.2">
      <c r="A62" s="6" t="s">
        <v>23</v>
      </c>
      <c r="B62" s="9"/>
      <c r="L62" s="5">
        <v>60</v>
      </c>
      <c r="M62" s="13" t="s">
        <v>160</v>
      </c>
      <c r="O62" s="5"/>
    </row>
    <row r="63" spans="1:15" x14ac:dyDescent="0.2">
      <c r="A63" s="6" t="s">
        <v>24</v>
      </c>
      <c r="B63" s="9"/>
      <c r="L63" s="5">
        <v>61</v>
      </c>
      <c r="O63" s="5"/>
    </row>
    <row r="64" spans="1:15" x14ac:dyDescent="0.2">
      <c r="L64" s="5">
        <v>62</v>
      </c>
    </row>
    <row r="65" spans="1:12" x14ac:dyDescent="0.2">
      <c r="A65" s="1" t="s">
        <v>61</v>
      </c>
      <c r="B65" s="2"/>
      <c r="L65" s="5">
        <v>63</v>
      </c>
    </row>
    <row r="66" spans="1:12" x14ac:dyDescent="0.2">
      <c r="B66" s="6"/>
      <c r="C66" s="6"/>
      <c r="I66" s="6"/>
      <c r="K66" s="6"/>
      <c r="L66" s="5">
        <v>64</v>
      </c>
    </row>
    <row r="67" spans="1:12" x14ac:dyDescent="0.2">
      <c r="A67" s="6" t="s">
        <v>20</v>
      </c>
      <c r="B67" s="24">
        <f>F6</f>
        <v>45661</v>
      </c>
      <c r="C67" s="6"/>
      <c r="I67" s="6"/>
      <c r="K67" s="6"/>
      <c r="L67" s="5">
        <v>65</v>
      </c>
    </row>
    <row r="68" spans="1:12" x14ac:dyDescent="0.2">
      <c r="A68" s="13" t="s">
        <v>62</v>
      </c>
      <c r="B68" s="6" t="str">
        <f>G6</f>
        <v>10:00 - 17:01</v>
      </c>
      <c r="C68" s="6"/>
      <c r="I68" s="6"/>
      <c r="K68" s="6"/>
      <c r="L68" s="5">
        <v>66</v>
      </c>
    </row>
    <row r="69" spans="1:12" x14ac:dyDescent="0.2">
      <c r="B69" s="6"/>
      <c r="C69" s="6"/>
      <c r="I69" s="6"/>
      <c r="K69" s="6"/>
      <c r="L69" s="5">
        <v>67</v>
      </c>
    </row>
    <row r="70" spans="1:12" x14ac:dyDescent="0.2">
      <c r="A70" s="6" t="s">
        <v>17</v>
      </c>
      <c r="B70" s="6" t="str">
        <f>A_Gutachter_Name &amp; " - Sachverständiger"</f>
        <v>Stefan Hubenschmid - Sachverständiger</v>
      </c>
      <c r="C70" s="6"/>
      <c r="I70" s="6"/>
      <c r="K70" s="6"/>
      <c r="L70" s="5">
        <v>68</v>
      </c>
    </row>
    <row r="71" spans="1:12" x14ac:dyDescent="0.2">
      <c r="A71" s="6" t="s">
        <v>21</v>
      </c>
      <c r="B71" s="17"/>
      <c r="C71" s="6"/>
      <c r="I71" s="6"/>
      <c r="K71" s="6"/>
      <c r="L71" s="5">
        <v>69</v>
      </c>
    </row>
    <row r="72" spans="1:12" x14ac:dyDescent="0.2">
      <c r="A72" s="6" t="s">
        <v>22</v>
      </c>
      <c r="B72" s="9"/>
      <c r="C72" s="6"/>
      <c r="I72" s="6"/>
      <c r="K72" s="6"/>
      <c r="L72" s="5">
        <v>70</v>
      </c>
    </row>
    <row r="73" spans="1:12" x14ac:dyDescent="0.2">
      <c r="A73" s="6" t="s">
        <v>23</v>
      </c>
      <c r="B73" s="9"/>
      <c r="C73" s="6"/>
      <c r="I73" s="6"/>
      <c r="K73" s="6"/>
      <c r="L73" s="5">
        <v>71</v>
      </c>
    </row>
    <row r="74" spans="1:12" x14ac:dyDescent="0.2">
      <c r="A74" s="6" t="s">
        <v>24</v>
      </c>
      <c r="B74" s="9"/>
      <c r="C74" s="6"/>
      <c r="I74" s="6"/>
      <c r="K74" s="6"/>
      <c r="L74" s="5">
        <v>72</v>
      </c>
    </row>
    <row r="75" spans="1:12" x14ac:dyDescent="0.2">
      <c r="B75" s="5"/>
      <c r="C75" s="6"/>
      <c r="I75" s="6"/>
      <c r="K75" s="6"/>
      <c r="L75" s="5">
        <v>73</v>
      </c>
    </row>
    <row r="76" spans="1:12" x14ac:dyDescent="0.2">
      <c r="A76" s="1" t="s">
        <v>63</v>
      </c>
      <c r="B76" s="2"/>
      <c r="C76" s="6"/>
      <c r="I76" s="6"/>
      <c r="K76" s="6"/>
      <c r="L76" s="5">
        <v>74</v>
      </c>
    </row>
    <row r="77" spans="1:12" x14ac:dyDescent="0.2">
      <c r="B77" s="6"/>
      <c r="C77" s="6"/>
      <c r="I77" s="6"/>
      <c r="K77" s="6"/>
      <c r="L77" s="5">
        <v>75</v>
      </c>
    </row>
    <row r="78" spans="1:12" x14ac:dyDescent="0.2">
      <c r="A78" s="6" t="s">
        <v>20</v>
      </c>
      <c r="B78" s="24">
        <f>F7</f>
        <v>45662</v>
      </c>
      <c r="C78" s="6"/>
      <c r="I78" s="6"/>
      <c r="K78" s="6"/>
      <c r="L78" s="5">
        <v>76</v>
      </c>
    </row>
    <row r="79" spans="1:12" x14ac:dyDescent="0.2">
      <c r="A79" s="13" t="s">
        <v>62</v>
      </c>
      <c r="B79" s="6" t="str">
        <f>G7</f>
        <v>10:00 - 17:02</v>
      </c>
      <c r="C79" s="6"/>
      <c r="I79" s="6"/>
      <c r="K79" s="6"/>
      <c r="L79" s="5">
        <v>77</v>
      </c>
    </row>
    <row r="80" spans="1:12" x14ac:dyDescent="0.2">
      <c r="B80" s="6"/>
      <c r="C80" s="6"/>
      <c r="I80" s="6"/>
      <c r="K80" s="6"/>
      <c r="L80" s="5">
        <v>78</v>
      </c>
    </row>
    <row r="81" spans="1:13" x14ac:dyDescent="0.2">
      <c r="A81" s="6" t="s">
        <v>17</v>
      </c>
      <c r="B81" s="6" t="str">
        <f>A_Gutachter_Name &amp; " - Sachverständiger"</f>
        <v>Stefan Hubenschmid - Sachverständiger</v>
      </c>
      <c r="C81" s="6"/>
      <c r="I81" s="6"/>
      <c r="K81" s="6"/>
      <c r="L81" s="5">
        <v>79</v>
      </c>
    </row>
    <row r="82" spans="1:13" x14ac:dyDescent="0.2">
      <c r="A82" s="6" t="s">
        <v>21</v>
      </c>
      <c r="B82" s="17"/>
      <c r="C82" s="6"/>
      <c r="I82" s="6"/>
      <c r="K82" s="6"/>
      <c r="L82" s="5">
        <v>80</v>
      </c>
      <c r="M82" s="13" t="s">
        <v>152</v>
      </c>
    </row>
    <row r="83" spans="1:13" x14ac:dyDescent="0.2">
      <c r="A83" s="6" t="s">
        <v>22</v>
      </c>
      <c r="B83" s="9"/>
      <c r="C83" s="6"/>
      <c r="I83" s="6"/>
      <c r="K83" s="6"/>
      <c r="L83" s="5">
        <v>81</v>
      </c>
    </row>
    <row r="84" spans="1:13" x14ac:dyDescent="0.2">
      <c r="A84" s="6" t="s">
        <v>23</v>
      </c>
      <c r="B84" s="9"/>
      <c r="C84" s="6"/>
      <c r="I84" s="6"/>
      <c r="K84" s="6"/>
      <c r="L84" s="5">
        <v>82</v>
      </c>
    </row>
    <row r="85" spans="1:13" x14ac:dyDescent="0.2">
      <c r="A85" s="6" t="s">
        <v>24</v>
      </c>
      <c r="B85" s="9"/>
      <c r="C85" s="6"/>
      <c r="I85" s="6"/>
      <c r="K85" s="6"/>
      <c r="L85" s="5">
        <v>83</v>
      </c>
    </row>
    <row r="86" spans="1:13" x14ac:dyDescent="0.2">
      <c r="B86" s="5"/>
      <c r="C86" s="6"/>
      <c r="I86" s="6"/>
      <c r="K86" s="6"/>
      <c r="L86" s="5">
        <v>84</v>
      </c>
    </row>
    <row r="87" spans="1:13" x14ac:dyDescent="0.2">
      <c r="A87" s="1" t="s">
        <v>67</v>
      </c>
      <c r="B87" s="2"/>
      <c r="C87" s="6"/>
      <c r="I87" s="6"/>
      <c r="K87" s="6"/>
      <c r="L87" s="5">
        <v>85</v>
      </c>
    </row>
    <row r="88" spans="1:13" x14ac:dyDescent="0.2">
      <c r="B88" s="6"/>
      <c r="C88" s="6"/>
      <c r="I88" s="6"/>
      <c r="K88" s="6"/>
      <c r="L88" s="5">
        <v>86</v>
      </c>
    </row>
    <row r="89" spans="1:13" x14ac:dyDescent="0.2">
      <c r="A89" s="6" t="s">
        <v>20</v>
      </c>
      <c r="B89" s="24">
        <f>F18</f>
        <v>0</v>
      </c>
      <c r="C89" s="6"/>
      <c r="I89" s="6"/>
      <c r="K89" s="6"/>
      <c r="L89" s="5">
        <v>87</v>
      </c>
    </row>
    <row r="90" spans="1:13" x14ac:dyDescent="0.2">
      <c r="A90" s="13" t="s">
        <v>62</v>
      </c>
      <c r="B90" s="6">
        <f>G18</f>
        <v>0</v>
      </c>
      <c r="C90" s="6"/>
      <c r="I90" s="6"/>
      <c r="K90" s="6"/>
      <c r="L90" s="5">
        <v>88</v>
      </c>
    </row>
    <row r="91" spans="1:13" x14ac:dyDescent="0.2">
      <c r="B91" s="6"/>
      <c r="C91" s="6"/>
      <c r="I91" s="6"/>
      <c r="K91" s="6"/>
      <c r="L91" s="5">
        <v>89</v>
      </c>
    </row>
    <row r="92" spans="1:13" x14ac:dyDescent="0.2">
      <c r="A92" s="6" t="s">
        <v>17</v>
      </c>
      <c r="B92" s="6" t="str">
        <f>A_Gutachter_Name &amp; " - Sachverständiger"</f>
        <v>Stefan Hubenschmid - Sachverständiger</v>
      </c>
      <c r="C92" s="6"/>
      <c r="I92" s="6"/>
      <c r="K92" s="6"/>
      <c r="L92" s="5">
        <v>90</v>
      </c>
    </row>
    <row r="93" spans="1:13" x14ac:dyDescent="0.2">
      <c r="A93" s="6" t="s">
        <v>21</v>
      </c>
      <c r="B93" s="17"/>
      <c r="L93" s="5">
        <v>91</v>
      </c>
    </row>
    <row r="94" spans="1:13" x14ac:dyDescent="0.2">
      <c r="A94" s="6" t="s">
        <v>22</v>
      </c>
      <c r="B94" s="9"/>
      <c r="L94" s="5">
        <v>92</v>
      </c>
    </row>
    <row r="95" spans="1:13" x14ac:dyDescent="0.2">
      <c r="A95" s="6" t="s">
        <v>23</v>
      </c>
      <c r="B95" s="9"/>
      <c r="L95" s="5">
        <v>93</v>
      </c>
    </row>
    <row r="96" spans="1:13" x14ac:dyDescent="0.2">
      <c r="A96" s="6" t="s">
        <v>24</v>
      </c>
      <c r="B96" s="9"/>
      <c r="L96" s="5">
        <v>94</v>
      </c>
    </row>
    <row r="97" spans="1:12" x14ac:dyDescent="0.2">
      <c r="L97" s="5">
        <v>95</v>
      </c>
    </row>
    <row r="98" spans="1:12" x14ac:dyDescent="0.2">
      <c r="A98" s="26" t="s">
        <v>69</v>
      </c>
      <c r="B98" s="27"/>
      <c r="L98" s="5">
        <v>96</v>
      </c>
    </row>
    <row r="99" spans="1:12" x14ac:dyDescent="0.2">
      <c r="A99" s="28"/>
      <c r="B99" s="28"/>
      <c r="L99" s="5">
        <v>97</v>
      </c>
    </row>
    <row r="100" spans="1:12" x14ac:dyDescent="0.2">
      <c r="A100" s="28" t="s">
        <v>20</v>
      </c>
      <c r="B100" s="29">
        <v>45662</v>
      </c>
      <c r="L100" s="5">
        <v>98</v>
      </c>
    </row>
    <row r="101" spans="1:12" x14ac:dyDescent="0.2">
      <c r="A101" s="28" t="s">
        <v>62</v>
      </c>
      <c r="B101" s="28" t="s">
        <v>66</v>
      </c>
      <c r="L101" s="5">
        <v>99</v>
      </c>
    </row>
    <row r="102" spans="1:12" x14ac:dyDescent="0.2">
      <c r="A102" s="28"/>
      <c r="B102" s="28"/>
      <c r="L102" s="5">
        <v>100</v>
      </c>
    </row>
    <row r="103" spans="1:12" x14ac:dyDescent="0.2">
      <c r="A103" s="28" t="s">
        <v>17</v>
      </c>
      <c r="B103" s="28" t="s">
        <v>68</v>
      </c>
    </row>
    <row r="104" spans="1:12" x14ac:dyDescent="0.2">
      <c r="A104" s="28" t="s">
        <v>21</v>
      </c>
      <c r="B104" s="30"/>
    </row>
    <row r="105" spans="1:12" x14ac:dyDescent="0.2">
      <c r="A105" s="28" t="s">
        <v>22</v>
      </c>
      <c r="B105" s="30"/>
    </row>
    <row r="106" spans="1:12" x14ac:dyDescent="0.2">
      <c r="A106" s="28" t="s">
        <v>23</v>
      </c>
      <c r="B106" s="30"/>
    </row>
    <row r="107" spans="1:12" x14ac:dyDescent="0.2">
      <c r="A107" s="28" t="s">
        <v>24</v>
      </c>
      <c r="B107" s="30"/>
    </row>
    <row r="110" spans="1:12" x14ac:dyDescent="0.2">
      <c r="A110" s="26" t="s">
        <v>70</v>
      </c>
      <c r="B110" s="27"/>
    </row>
    <row r="111" spans="1:12" x14ac:dyDescent="0.2">
      <c r="A111" s="28"/>
      <c r="B111" s="28"/>
    </row>
    <row r="112" spans="1:12" x14ac:dyDescent="0.2">
      <c r="A112" s="28" t="s">
        <v>71</v>
      </c>
      <c r="B112" s="30"/>
    </row>
    <row r="113" spans="1:2" x14ac:dyDescent="0.2">
      <c r="A113" s="28" t="s">
        <v>72</v>
      </c>
      <c r="B113" s="30"/>
    </row>
    <row r="114" spans="1:2" x14ac:dyDescent="0.2">
      <c r="A114" s="28" t="s">
        <v>73</v>
      </c>
      <c r="B114" s="30"/>
    </row>
    <row r="115" spans="1:2" x14ac:dyDescent="0.2">
      <c r="A115" s="28" t="s">
        <v>74</v>
      </c>
      <c r="B115" s="30"/>
    </row>
    <row r="116" spans="1:2" x14ac:dyDescent="0.2">
      <c r="A116" s="28" t="s">
        <v>75</v>
      </c>
      <c r="B116" s="30"/>
    </row>
    <row r="117" spans="1:2" x14ac:dyDescent="0.2">
      <c r="A117" s="28" t="s">
        <v>76</v>
      </c>
      <c r="B117" s="30"/>
    </row>
    <row r="118" spans="1:2" x14ac:dyDescent="0.2">
      <c r="A118" s="28" t="s">
        <v>77</v>
      </c>
      <c r="B118" s="30"/>
    </row>
    <row r="119" spans="1:2" x14ac:dyDescent="0.2">
      <c r="A119" s="28" t="s">
        <v>78</v>
      </c>
      <c r="B119" s="30"/>
    </row>
    <row r="122" spans="1:2" x14ac:dyDescent="0.2">
      <c r="A122" s="26"/>
      <c r="B122" s="27"/>
    </row>
  </sheetData>
  <mergeCells count="1">
    <mergeCell ref="B8:B10"/>
  </mergeCells>
  <phoneticPr fontId="4"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4910-1484-3147-BB5E-2E5200B79567}">
  <dimension ref="A1:AC40"/>
  <sheetViews>
    <sheetView zoomScale="90" zoomScaleNormal="90" workbookViewId="0">
      <selection activeCell="D32" sqref="D32"/>
    </sheetView>
  </sheetViews>
  <sheetFormatPr baseColWidth="10" defaultColWidth="10.83203125" defaultRowHeight="15" x14ac:dyDescent="0.2"/>
  <cols>
    <col min="1" max="1" width="31" style="6" bestFit="1" customWidth="1"/>
    <col min="2" max="2" width="43.1640625" style="8" bestFit="1" customWidth="1"/>
    <col min="3" max="3" width="2.1640625" style="3" bestFit="1" customWidth="1"/>
    <col min="4" max="4" width="15" style="6" customWidth="1"/>
    <col min="5" max="5" width="9.1640625" style="6" customWidth="1"/>
    <col min="6" max="6" width="9.33203125" style="5" customWidth="1"/>
    <col min="7" max="7" width="17" style="6" customWidth="1"/>
    <col min="8" max="8" width="13.5" style="6" customWidth="1"/>
    <col min="9" max="9" width="16" style="7" customWidth="1"/>
    <col min="10" max="10" width="27.1640625" style="6" customWidth="1"/>
    <col min="11" max="11" width="35.1640625" style="6" hidden="1" customWidth="1"/>
    <col min="12" max="12" width="56.5" style="6" hidden="1" customWidth="1"/>
    <col min="13" max="13" width="57.5" style="6" hidden="1" customWidth="1"/>
    <col min="14" max="14" width="17.33203125" style="6" hidden="1" customWidth="1"/>
    <col min="15" max="15" width="12.6640625" style="6" customWidth="1"/>
    <col min="16" max="16" width="11.83203125" style="6" customWidth="1"/>
    <col min="17" max="17" width="24" style="6" customWidth="1"/>
    <col min="18" max="20" width="10.83203125" style="6"/>
    <col min="21" max="22" width="15.33203125" style="6" customWidth="1"/>
    <col min="23" max="24" width="10.83203125" style="6"/>
    <col min="25" max="25" width="14.83203125" style="6" customWidth="1"/>
    <col min="26" max="28" width="10.83203125" style="6"/>
    <col min="29" max="29" width="20.5" style="6" customWidth="1"/>
    <col min="30" max="16384" width="10.83203125" style="6"/>
  </cols>
  <sheetData>
    <row r="1" spans="1:29" s="3" customFormat="1" x14ac:dyDescent="0.2">
      <c r="A1" s="1" t="s">
        <v>47</v>
      </c>
      <c r="B1" s="2"/>
      <c r="D1" s="6"/>
      <c r="E1" s="6"/>
      <c r="F1" s="5"/>
      <c r="G1" s="6"/>
      <c r="H1" s="6"/>
      <c r="I1" s="7"/>
      <c r="J1" s="6"/>
      <c r="K1" s="6"/>
      <c r="L1" s="6"/>
      <c r="M1" s="6"/>
      <c r="N1" s="6"/>
      <c r="O1" s="6"/>
      <c r="P1" s="6"/>
      <c r="Q1" s="6"/>
      <c r="R1" s="6"/>
      <c r="S1" s="6"/>
      <c r="T1" s="6"/>
      <c r="U1" s="6"/>
      <c r="V1" s="6"/>
      <c r="W1" s="6"/>
      <c r="X1" s="6"/>
      <c r="Y1" s="6"/>
      <c r="Z1" s="6"/>
      <c r="AA1" s="6"/>
      <c r="AB1" s="6"/>
      <c r="AC1" s="6"/>
    </row>
    <row r="3" spans="1:29" x14ac:dyDescent="0.2">
      <c r="A3" s="6" t="s">
        <v>36</v>
      </c>
      <c r="B3" s="7" t="e">
        <f>VLOOKUP(A_Grundlagen!#REF!,A_Grundlagen!#REF!,10)</f>
        <v>#REF!</v>
      </c>
    </row>
    <row r="4" spans="1:29" x14ac:dyDescent="0.2">
      <c r="A4" s="6" t="s">
        <v>38</v>
      </c>
      <c r="B4" s="7" t="e">
        <f>VLOOKUP(A_Grundlagen!#REF!,A_Grundlagen!#REF!,10)</f>
        <v>#REF!</v>
      </c>
    </row>
    <row r="5" spans="1:29" x14ac:dyDescent="0.2">
      <c r="A5" s="12" t="s">
        <v>39</v>
      </c>
      <c r="B5" s="7" t="e">
        <f>VLOOKUP(A_Grundlagen!#REF!,A_Grundlagen!#REF!,10)</f>
        <v>#REF!</v>
      </c>
    </row>
    <row r="6" spans="1:29" x14ac:dyDescent="0.2">
      <c r="A6" s="12" t="s">
        <v>40</v>
      </c>
      <c r="B6" s="7" t="e">
        <f>VLOOKUP(A_Grundlagen!#REF!,A_Grundlagen!#REF!,10)</f>
        <v>#REF!</v>
      </c>
    </row>
    <row r="7" spans="1:29" x14ac:dyDescent="0.2">
      <c r="A7" s="12" t="s">
        <v>41</v>
      </c>
      <c r="B7" s="7" t="e">
        <f>VLOOKUP(A_Grundlagen!#REF!,A_Grundlagen!#REF!,10)</f>
        <v>#REF!</v>
      </c>
    </row>
    <row r="8" spans="1:29" x14ac:dyDescent="0.2">
      <c r="A8" s="12" t="s">
        <v>42</v>
      </c>
      <c r="B8" s="7" t="e">
        <f>VLOOKUP(A_Grundlagen!#REF!,A_Grundlagen!#REF!,10)</f>
        <v>#REF!</v>
      </c>
    </row>
    <row r="10" spans="1:29" x14ac:dyDescent="0.2">
      <c r="A10" s="1" t="s">
        <v>48</v>
      </c>
      <c r="B10" s="2"/>
    </row>
    <row r="11" spans="1:29" x14ac:dyDescent="0.2">
      <c r="B11" s="6"/>
      <c r="C11" s="6"/>
    </row>
    <row r="12" spans="1:29" x14ac:dyDescent="0.2">
      <c r="A12" s="6" t="s">
        <v>45</v>
      </c>
      <c r="B12" s="7" t="e">
        <f>VLOOKUP(A_Grundlagen!#REF!,A_Grundlagen!#REF!,10)</f>
        <v>#REF!</v>
      </c>
      <c r="C12" s="6"/>
    </row>
    <row r="13" spans="1:29" x14ac:dyDescent="0.2">
      <c r="A13" s="6" t="s">
        <v>46</v>
      </c>
      <c r="B13" s="7" t="e">
        <f>VLOOKUP(A_Grundlagen!#REF!,A_Grundlagen!#REF!,10)</f>
        <v>#REF!</v>
      </c>
      <c r="C13" s="6"/>
    </row>
    <row r="14" spans="1:29" x14ac:dyDescent="0.2">
      <c r="B14" s="6"/>
      <c r="C14" s="6"/>
    </row>
    <row r="15" spans="1:29" x14ac:dyDescent="0.2">
      <c r="B15" s="6"/>
      <c r="C15" s="6"/>
    </row>
    <row r="20" spans="1:29" s="3" customFormat="1" x14ac:dyDescent="0.2">
      <c r="A20" s="1"/>
      <c r="B20" s="2"/>
      <c r="D20" s="6"/>
      <c r="E20" s="6"/>
      <c r="F20" s="5"/>
      <c r="G20" s="6"/>
      <c r="H20" s="6"/>
      <c r="I20" s="7"/>
      <c r="J20" s="6"/>
      <c r="K20" s="6"/>
      <c r="L20" s="6"/>
      <c r="M20" s="6"/>
      <c r="N20" s="6"/>
      <c r="O20" s="6"/>
      <c r="P20" s="6"/>
      <c r="Q20" s="6"/>
      <c r="R20" s="6"/>
      <c r="S20" s="6"/>
      <c r="T20" s="6"/>
      <c r="U20" s="6"/>
      <c r="V20" s="6"/>
      <c r="W20" s="6"/>
      <c r="X20" s="6"/>
      <c r="Y20" s="6"/>
      <c r="Z20" s="6"/>
      <c r="AA20" s="6"/>
      <c r="AB20" s="6"/>
      <c r="AC20" s="6"/>
    </row>
    <row r="36" spans="1:29" s="8" customFormat="1" x14ac:dyDescent="0.2">
      <c r="A36" s="10" t="s">
        <v>34</v>
      </c>
      <c r="C36" s="3"/>
      <c r="D36" s="6"/>
      <c r="E36" s="6"/>
      <c r="F36" s="5"/>
      <c r="G36" s="6"/>
      <c r="H36" s="6"/>
      <c r="I36" s="7"/>
      <c r="J36" s="6"/>
      <c r="K36" s="6"/>
      <c r="L36" s="6"/>
      <c r="M36" s="6"/>
      <c r="N36" s="6"/>
      <c r="O36" s="6"/>
      <c r="P36" s="6"/>
      <c r="Q36" s="6"/>
      <c r="R36" s="6"/>
      <c r="S36" s="6"/>
      <c r="T36" s="6"/>
      <c r="U36" s="6"/>
      <c r="V36" s="6"/>
      <c r="W36" s="6"/>
      <c r="X36" s="6"/>
      <c r="Y36" s="6"/>
      <c r="Z36" s="6"/>
      <c r="AA36" s="6"/>
      <c r="AB36" s="6"/>
      <c r="AC36" s="6"/>
    </row>
    <row r="37" spans="1:29" s="8" customFormat="1" x14ac:dyDescent="0.2">
      <c r="A37" s="10" t="s">
        <v>35</v>
      </c>
      <c r="C37" s="3"/>
      <c r="D37" s="6"/>
      <c r="E37" s="6"/>
      <c r="F37" s="5"/>
      <c r="G37" s="6"/>
      <c r="H37" s="6"/>
      <c r="I37" s="7"/>
      <c r="J37" s="6"/>
      <c r="K37" s="6"/>
      <c r="L37" s="6"/>
      <c r="M37" s="6"/>
      <c r="N37" s="6"/>
      <c r="O37" s="6"/>
      <c r="P37" s="6"/>
      <c r="Q37" s="6"/>
      <c r="R37" s="6"/>
      <c r="S37" s="6"/>
      <c r="T37" s="6"/>
      <c r="U37" s="6"/>
      <c r="V37" s="6"/>
      <c r="W37" s="6"/>
      <c r="X37" s="6"/>
      <c r="Y37" s="6"/>
      <c r="Z37" s="6"/>
      <c r="AA37" s="6"/>
      <c r="AB37" s="6"/>
      <c r="AC37" s="6"/>
    </row>
    <row r="39" spans="1:29" s="8" customFormat="1" x14ac:dyDescent="0.2">
      <c r="A39" s="6" t="s">
        <v>43</v>
      </c>
      <c r="C39" s="3"/>
      <c r="D39" s="6"/>
      <c r="E39" s="6"/>
      <c r="F39" s="5"/>
      <c r="G39" s="6"/>
      <c r="H39" s="6"/>
      <c r="I39" s="7"/>
      <c r="J39" s="6"/>
      <c r="K39" s="6"/>
      <c r="L39" s="6"/>
      <c r="M39" s="6"/>
      <c r="N39" s="6"/>
      <c r="O39" s="6"/>
      <c r="P39" s="6"/>
      <c r="Q39" s="6"/>
      <c r="R39" s="6"/>
      <c r="S39" s="6"/>
      <c r="T39" s="6"/>
      <c r="U39" s="6"/>
      <c r="V39" s="6"/>
      <c r="W39" s="6"/>
      <c r="X39" s="6"/>
      <c r="Y39" s="6"/>
      <c r="Z39" s="6"/>
      <c r="AA39" s="6"/>
      <c r="AB39" s="6"/>
      <c r="AC39" s="6"/>
    </row>
    <row r="40" spans="1:29" s="8" customFormat="1" x14ac:dyDescent="0.2">
      <c r="A40" s="6" t="s">
        <v>44</v>
      </c>
      <c r="C40" s="3"/>
      <c r="D40" s="6"/>
      <c r="E40" s="6"/>
      <c r="F40" s="5"/>
      <c r="G40" s="6"/>
      <c r="H40" s="6"/>
      <c r="I40" s="7"/>
      <c r="J40" s="6"/>
      <c r="K40" s="6"/>
      <c r="L40" s="6"/>
      <c r="M40" s="6"/>
      <c r="N40" s="6"/>
      <c r="O40" s="6"/>
      <c r="P40" s="6"/>
      <c r="Q40" s="6"/>
      <c r="R40" s="6"/>
      <c r="S40" s="6"/>
      <c r="T40" s="6"/>
      <c r="U40" s="6"/>
      <c r="V40" s="6"/>
      <c r="W40" s="6"/>
      <c r="X40" s="6"/>
      <c r="Y40" s="6"/>
      <c r="Z40" s="6"/>
      <c r="AA40" s="6"/>
      <c r="AB40" s="6"/>
      <c r="AC40" s="6"/>
    </row>
  </sheetData>
  <hyperlinks>
    <hyperlink ref="A36" r:id="rId1" xr:uid="{AD4B525D-74C3-B845-9506-3F980884C335}"/>
    <hyperlink ref="A37" r:id="rId2" location="/" xr:uid="{0DCCFBC4-4CA2-BC4A-8093-77D74B27A858}"/>
  </hyperlinks>
  <pageMargins left="0.7" right="0.7" top="0.78740157499999996" bottom="0.78740157499999996"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FB142-FD76-FC45-81E4-2493999025A3}">
  <dimension ref="A1:H13"/>
  <sheetViews>
    <sheetView zoomScale="90" zoomScaleNormal="90" workbookViewId="0">
      <selection activeCell="A9" sqref="A9"/>
    </sheetView>
  </sheetViews>
  <sheetFormatPr baseColWidth="10" defaultColWidth="10.83203125" defaultRowHeight="15" x14ac:dyDescent="0.2"/>
  <cols>
    <col min="1" max="1" width="31" style="6" bestFit="1" customWidth="1"/>
    <col min="2" max="2" width="43.1640625" style="8" bestFit="1" customWidth="1"/>
    <col min="3" max="3" width="3.6640625" style="3" customWidth="1"/>
    <col min="4" max="4" width="15" style="6" customWidth="1"/>
    <col min="5" max="5" width="10.83203125" style="6"/>
    <col min="6" max="6" width="5.6640625" style="6" customWidth="1"/>
    <col min="7" max="7" width="13.6640625" style="6" customWidth="1"/>
    <col min="8" max="8" width="92.6640625" style="6" customWidth="1"/>
    <col min="9" max="9" width="15.33203125" style="6" customWidth="1"/>
    <col min="10" max="11" width="10.83203125" style="6"/>
    <col min="12" max="12" width="14.83203125" style="6" customWidth="1"/>
    <col min="13" max="15" width="10.83203125" style="6"/>
    <col min="16" max="16" width="20.5" style="6" customWidth="1"/>
    <col min="17" max="16384" width="10.83203125" style="6"/>
  </cols>
  <sheetData>
    <row r="1" spans="1:8" x14ac:dyDescent="0.2">
      <c r="A1" s="1" t="s">
        <v>86</v>
      </c>
      <c r="B1" s="2"/>
      <c r="C1" s="4"/>
      <c r="F1" s="20" t="s">
        <v>82</v>
      </c>
      <c r="G1" s="20"/>
      <c r="H1" s="20" t="s">
        <v>83</v>
      </c>
    </row>
    <row r="2" spans="1:8" x14ac:dyDescent="0.2">
      <c r="B2" s="7"/>
      <c r="C2" s="15"/>
      <c r="F2" s="5"/>
    </row>
    <row r="3" spans="1:8" ht="18" customHeight="1" x14ac:dyDescent="0.2">
      <c r="A3" s="13" t="s">
        <v>84</v>
      </c>
      <c r="B3" s="25" t="str">
        <f>VLOOKUP(C3,F3:H4,3,0)</f>
        <v>Die Schäzung der Sanierungskosten ist Bestandteil dieser gutachterlichen Stellungnahme. 
Die Kostenschätzung im Rahmen eines Baugutachtens unterscheidet sich grundsätzlich von der Kostenschätzung, die im Zuge einer Gebäudeplanung durch einen Architekten erfolgt. Während das Gutachten in der Regel eine überschlägige Einschätzung der voraussichtlichen Sanierungskosten liefert, dient die architektonische Kostenermittlung im Planungsprozess der schrittweisen Konkretisierung und Fortschreibung der Baukosten entsprechend der Leistungsphasen gemäß HOAI.
Die Genauigkeit einer Kostenschätzung liegt in der Regel bei ± 30 %, während eine Kostenberechnung auf Basis konkreter Planungsunterlagen eine Genauigkeit von ± 20 % erreicht. Ein Kostenanschlag, der sich auf geprüfte Ausschreibungsergebnisse stützt, kann eine noch genauere Aussage über die zu erwartenden Baukosten liefern, wobei erfahrungsgemäß Nachtragskosten von etwa 5–10 % einzuplanen sind. Die abschließende Kostenfeststellung dokumentiert die tatsächlich entstandenen Baukosten nach Abschluss der Maßnahme.
Alle genannten Kostenstufen orientieren sich an der DIN 276 in Verbindung mit der Flächen- und Raumberechnung gemäß DIN 277. Für die Ermittlung der Baukosten im Gutachten können verschiedene Quellen herangezogen werden, darunter insbesondere:
– die BKI-Baukostendaten des Baukosteninformationszentrums Deutscher Architektenkammern GmbH,
– Fachliteratur wie „Baukosten“ von Schmitz, Gerlach und Meisel (Verlag Hubert Wingen),
– überschlägige Schätzungen auf Basis von Zeit- und Materialeinsatz,
– sowie marktübliche Preise aus vergleichbaren Angeboten.</v>
      </c>
      <c r="C3" s="15">
        <v>2</v>
      </c>
      <c r="F3" s="5">
        <v>1</v>
      </c>
      <c r="G3" s="13" t="s">
        <v>85</v>
      </c>
      <c r="H3" s="13" t="s">
        <v>87</v>
      </c>
    </row>
    <row r="4" spans="1:8" x14ac:dyDescent="0.2">
      <c r="F4" s="5">
        <v>2</v>
      </c>
      <c r="G4" s="13" t="s">
        <v>84</v>
      </c>
      <c r="H4" s="13" t="s">
        <v>81</v>
      </c>
    </row>
    <row r="5" spans="1:8" x14ac:dyDescent="0.2">
      <c r="A5" s="1" t="s">
        <v>88</v>
      </c>
      <c r="B5" s="2"/>
      <c r="F5" s="5"/>
      <c r="H5" s="25"/>
    </row>
    <row r="6" spans="1:8" x14ac:dyDescent="0.2">
      <c r="B6" s="7"/>
      <c r="C6" s="15"/>
      <c r="F6" s="5"/>
    </row>
    <row r="7" spans="1:8" x14ac:dyDescent="0.2">
      <c r="A7" s="13" t="s">
        <v>88</v>
      </c>
      <c r="B7" s="25" t="str">
        <f>VLOOKUP(C7,F7:H8,3,0)</f>
        <v>Die Feststellung von Bauschäden, Baumängeln und sonstigen Auffälligkeiten erfolgt in der Regel durch eine visuelle Begutachtung im Rahmen des Ortstermins. Falls ein weitergehender Erkenntnisgewinn nur durch eine Bauteilöffnung möglich ist, wird diese nach vorheriger Absprache und mit Einverständnis des Auftraggebers durchgeführt. Das fachgerechte Verschließen der Bauteilöffnung obliegt dem Auftraggeber.</v>
      </c>
      <c r="C7" s="15">
        <v>4</v>
      </c>
      <c r="F7" s="5">
        <v>3</v>
      </c>
      <c r="G7" s="13" t="s">
        <v>90</v>
      </c>
      <c r="H7" s="25" t="s">
        <v>91</v>
      </c>
    </row>
    <row r="8" spans="1:8" x14ac:dyDescent="0.2">
      <c r="F8" s="5">
        <v>4</v>
      </c>
      <c r="G8" s="13" t="s">
        <v>92</v>
      </c>
      <c r="H8" s="13" t="s">
        <v>89</v>
      </c>
    </row>
    <row r="9" spans="1:8" x14ac:dyDescent="0.2">
      <c r="A9" s="1"/>
      <c r="B9" s="2"/>
      <c r="F9" s="5"/>
    </row>
    <row r="10" spans="1:8" x14ac:dyDescent="0.2">
      <c r="F10" s="5"/>
    </row>
    <row r="11" spans="1:8" x14ac:dyDescent="0.2">
      <c r="C11" s="6"/>
      <c r="F11" s="5"/>
    </row>
    <row r="12" spans="1:8" x14ac:dyDescent="0.2">
      <c r="A12" s="1"/>
      <c r="B12" s="2"/>
      <c r="C12" s="6"/>
      <c r="F12" s="5"/>
    </row>
    <row r="13" spans="1:8" x14ac:dyDescent="0.2">
      <c r="C13" s="6"/>
      <c r="F13" s="5"/>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3C84-D67F-C54A-82F3-88F4EC9FFAB9}">
  <dimension ref="A2:I24"/>
  <sheetViews>
    <sheetView workbookViewId="0">
      <selection activeCell="A22" sqref="A22"/>
    </sheetView>
  </sheetViews>
  <sheetFormatPr baseColWidth="10" defaultRowHeight="16" x14ac:dyDescent="0.2"/>
  <cols>
    <col min="1" max="1" width="28" customWidth="1"/>
    <col min="7" max="7" width="10.83203125" style="33"/>
    <col min="8" max="8" width="50.33203125" style="33" customWidth="1"/>
    <col min="9" max="9" width="37.6640625" style="33" customWidth="1"/>
  </cols>
  <sheetData>
    <row r="2" spans="1:9" ht="19" x14ac:dyDescent="0.25">
      <c r="A2" s="32" t="s">
        <v>104</v>
      </c>
    </row>
    <row r="3" spans="1:9" x14ac:dyDescent="0.2">
      <c r="A3" t="str">
        <f>VLOOKUP(E3,G3:I7,2)</f>
        <v>Das Lüftungskonzeptes gemäß DIN 1946/6 ist im Anhang dargestellt.</v>
      </c>
      <c r="E3" s="34">
        <v>1</v>
      </c>
      <c r="G3" s="35"/>
      <c r="H3" s="35">
        <v>2</v>
      </c>
      <c r="I3" s="35">
        <v>3</v>
      </c>
    </row>
    <row r="4" spans="1:9" x14ac:dyDescent="0.2">
      <c r="G4" s="35">
        <v>1</v>
      </c>
      <c r="H4" s="33" t="s">
        <v>105</v>
      </c>
      <c r="I4" s="36"/>
    </row>
    <row r="5" spans="1:9" x14ac:dyDescent="0.2">
      <c r="G5" s="35">
        <v>2</v>
      </c>
      <c r="H5" s="33" t="s">
        <v>106</v>
      </c>
      <c r="I5" s="36"/>
    </row>
    <row r="6" spans="1:9" x14ac:dyDescent="0.2">
      <c r="G6" s="35">
        <v>3</v>
      </c>
      <c r="H6" s="37"/>
      <c r="I6" s="37"/>
    </row>
    <row r="7" spans="1:9" x14ac:dyDescent="0.2">
      <c r="G7" s="35">
        <v>4</v>
      </c>
      <c r="H7" s="37"/>
      <c r="I7" s="37"/>
    </row>
    <row r="9" spans="1:9" ht="19" x14ac:dyDescent="0.25">
      <c r="A9" s="32" t="s">
        <v>107</v>
      </c>
    </row>
    <row r="10" spans="1:9" x14ac:dyDescent="0.2">
      <c r="A10" t="str">
        <f>VLOOKUP(E10,G10:I14,2)</f>
        <v>"Lüftungstechnische" Maßnahmen und Lüftungssysteme gem. DIN 1946/6</v>
      </c>
      <c r="E10" s="38">
        <f>E3</f>
        <v>1</v>
      </c>
      <c r="G10" s="35"/>
      <c r="H10" s="35">
        <v>2</v>
      </c>
      <c r="I10" s="35">
        <v>3</v>
      </c>
    </row>
    <row r="11" spans="1:9" x14ac:dyDescent="0.2">
      <c r="G11" s="35">
        <v>1</v>
      </c>
      <c r="H11" s="33" t="s">
        <v>108</v>
      </c>
      <c r="I11"/>
    </row>
    <row r="12" spans="1:9" x14ac:dyDescent="0.2">
      <c r="G12" s="35">
        <v>2</v>
      </c>
      <c r="H12" s="33" t="s">
        <v>109</v>
      </c>
      <c r="I12" s="25"/>
    </row>
    <row r="13" spans="1:9" x14ac:dyDescent="0.2">
      <c r="G13" s="35">
        <v>3</v>
      </c>
    </row>
    <row r="14" spans="1:9" x14ac:dyDescent="0.2">
      <c r="G14" s="35">
        <v>4</v>
      </c>
    </row>
    <row r="19" spans="1:9" ht="19" x14ac:dyDescent="0.25">
      <c r="A19" s="32" t="s">
        <v>110</v>
      </c>
    </row>
    <row r="20" spans="1:9" x14ac:dyDescent="0.2">
      <c r="A20" t="str">
        <f>VLOOKUP(E20,G20:I24,2)</f>
        <v>"Lüftungstechnische" Maßnahmen sind erforderlich</v>
      </c>
      <c r="E20" s="34">
        <v>1</v>
      </c>
      <c r="G20" s="35"/>
      <c r="H20" s="35">
        <v>2</v>
      </c>
      <c r="I20" s="35">
        <v>3</v>
      </c>
    </row>
    <row r="21" spans="1:9" x14ac:dyDescent="0.2">
      <c r="A21" t="str">
        <f>VLOOKUP(E20,G20:I24,3)</f>
        <v>d.h. es sollten weitere lüftungstechnische Maßnahmen geplant werden. Dies kann gem. DIN 1946/6 erfolgen bzw. als Grundlage kann auch das Merkblatt zum „Lüften im Wohnungsbau“ herangezogen werden.</v>
      </c>
      <c r="G21" s="35">
        <v>1</v>
      </c>
      <c r="H21" s="36" t="s">
        <v>111</v>
      </c>
      <c r="I21" s="36" t="s">
        <v>112</v>
      </c>
    </row>
    <row r="22" spans="1:9" x14ac:dyDescent="0.2">
      <c r="G22" s="35">
        <v>2</v>
      </c>
      <c r="H22" s="36" t="s">
        <v>113</v>
      </c>
      <c r="I22" s="36" t="s">
        <v>114</v>
      </c>
    </row>
    <row r="23" spans="1:9" x14ac:dyDescent="0.2">
      <c r="G23" s="35">
        <v>3</v>
      </c>
      <c r="H23" s="37"/>
    </row>
    <row r="24" spans="1:9" x14ac:dyDescent="0.2">
      <c r="G24" s="35">
        <v>4</v>
      </c>
      <c r="H24" s="37"/>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B70B-CB66-424D-B0F4-5CF180782D12}">
  <dimension ref="A1"/>
  <sheetViews>
    <sheetView workbookViewId="0">
      <selection activeCell="K67" sqref="K67"/>
    </sheetView>
  </sheetViews>
  <sheetFormatPr baseColWidth="10" defaultRowHeight="16" x14ac:dyDescent="0.2"/>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C74D-2104-A043-8E3E-5D78759F87DE}">
  <dimension ref="A1:F32"/>
  <sheetViews>
    <sheetView workbookViewId="0">
      <selection activeCell="I9" sqref="I9"/>
    </sheetView>
  </sheetViews>
  <sheetFormatPr baseColWidth="10" defaultRowHeight="16" x14ac:dyDescent="0.2"/>
  <cols>
    <col min="1" max="1" width="7.33203125" customWidth="1"/>
    <col min="2" max="2" width="38.6640625" customWidth="1"/>
    <col min="3" max="3" width="7" bestFit="1" customWidth="1"/>
    <col min="4" max="4" width="6" bestFit="1" customWidth="1"/>
    <col min="5" max="5" width="7" bestFit="1" customWidth="1"/>
    <col min="6" max="6" width="8" bestFit="1" customWidth="1"/>
  </cols>
  <sheetData>
    <row r="1" spans="1:6" s="64" customFormat="1" ht="31" customHeight="1" x14ac:dyDescent="0.2">
      <c r="A1" s="63" t="s">
        <v>115</v>
      </c>
      <c r="B1" s="60" t="s">
        <v>116</v>
      </c>
      <c r="C1" s="61" t="s">
        <v>117</v>
      </c>
      <c r="D1" s="61" t="s">
        <v>118</v>
      </c>
      <c r="E1" s="62" t="s">
        <v>119</v>
      </c>
      <c r="F1" s="62" t="s">
        <v>120</v>
      </c>
    </row>
    <row r="2" spans="1:6" x14ac:dyDescent="0.2">
      <c r="A2" s="39"/>
      <c r="B2" s="40"/>
      <c r="C2" s="41"/>
      <c r="D2" s="41"/>
      <c r="E2" s="42"/>
      <c r="F2" s="42"/>
    </row>
    <row r="3" spans="1:6" x14ac:dyDescent="0.2">
      <c r="A3" s="39">
        <v>300</v>
      </c>
      <c r="B3" s="40" t="s">
        <v>121</v>
      </c>
      <c r="C3" s="41"/>
      <c r="D3" s="41"/>
      <c r="E3" s="42"/>
      <c r="F3" s="42"/>
    </row>
    <row r="4" spans="1:6" x14ac:dyDescent="0.2">
      <c r="A4" s="39"/>
      <c r="B4" s="43" t="s">
        <v>122</v>
      </c>
      <c r="C4" s="44" t="s">
        <v>123</v>
      </c>
      <c r="D4" s="44">
        <v>1</v>
      </c>
      <c r="E4" s="45">
        <v>6283.7</v>
      </c>
      <c r="F4" s="45">
        <f>D4*E4</f>
        <v>6283.7</v>
      </c>
    </row>
    <row r="5" spans="1:6" x14ac:dyDescent="0.2">
      <c r="A5" s="39">
        <v>354</v>
      </c>
      <c r="B5" s="40" t="s">
        <v>124</v>
      </c>
      <c r="C5" s="41"/>
      <c r="D5" s="41"/>
      <c r="E5" s="42"/>
      <c r="F5" s="42"/>
    </row>
    <row r="6" spans="1:6" x14ac:dyDescent="0.2">
      <c r="A6" s="39"/>
      <c r="B6" s="46" t="s">
        <v>125</v>
      </c>
      <c r="C6" s="44" t="s">
        <v>123</v>
      </c>
      <c r="D6" s="44">
        <v>1</v>
      </c>
      <c r="E6" s="45">
        <v>1396.74</v>
      </c>
      <c r="F6" s="45">
        <f t="shared" ref="F6:F26" si="0">D6*E6</f>
        <v>1396.74</v>
      </c>
    </row>
    <row r="7" spans="1:6" ht="30" x14ac:dyDescent="0.2">
      <c r="A7" s="39"/>
      <c r="B7" s="47" t="s">
        <v>126</v>
      </c>
      <c r="C7" s="48" t="s">
        <v>127</v>
      </c>
      <c r="D7" s="48">
        <v>1102</v>
      </c>
      <c r="E7" s="49">
        <v>0.3</v>
      </c>
      <c r="F7" s="49">
        <f t="shared" si="0"/>
        <v>330.59999999999997</v>
      </c>
    </row>
    <row r="8" spans="1:6" x14ac:dyDescent="0.2">
      <c r="A8" s="39"/>
      <c r="B8" s="43" t="s">
        <v>128</v>
      </c>
      <c r="C8" s="44" t="s">
        <v>123</v>
      </c>
      <c r="D8" s="44">
        <v>1</v>
      </c>
      <c r="E8" s="45">
        <f>2850+570+50</f>
        <v>3470</v>
      </c>
      <c r="F8" s="45">
        <f t="shared" si="0"/>
        <v>3470</v>
      </c>
    </row>
    <row r="9" spans="1:6" x14ac:dyDescent="0.2">
      <c r="A9" s="39"/>
      <c r="B9" s="43" t="s">
        <v>129</v>
      </c>
      <c r="C9" s="44" t="s">
        <v>123</v>
      </c>
      <c r="D9" s="44">
        <v>1</v>
      </c>
      <c r="E9" s="45">
        <v>530</v>
      </c>
      <c r="F9" s="45">
        <f t="shared" si="0"/>
        <v>530</v>
      </c>
    </row>
    <row r="10" spans="1:6" x14ac:dyDescent="0.2">
      <c r="A10" s="39">
        <v>420</v>
      </c>
      <c r="B10" s="40" t="s">
        <v>130</v>
      </c>
      <c r="C10" s="41"/>
      <c r="D10" s="41"/>
      <c r="E10" s="42"/>
      <c r="F10" s="42"/>
    </row>
    <row r="11" spans="1:6" x14ac:dyDescent="0.2">
      <c r="A11" s="39"/>
      <c r="B11" s="43" t="s">
        <v>131</v>
      </c>
      <c r="C11" s="44" t="s">
        <v>123</v>
      </c>
      <c r="D11" s="44">
        <v>1</v>
      </c>
      <c r="E11" s="45">
        <v>1296.45</v>
      </c>
      <c r="F11" s="45">
        <f t="shared" si="0"/>
        <v>1296.45</v>
      </c>
    </row>
    <row r="12" spans="1:6" x14ac:dyDescent="0.2">
      <c r="A12" s="39">
        <v>440</v>
      </c>
      <c r="B12" s="40" t="s">
        <v>132</v>
      </c>
      <c r="C12" s="41"/>
      <c r="D12" s="41"/>
      <c r="E12" s="42"/>
      <c r="F12" s="42"/>
    </row>
    <row r="13" spans="1:6" ht="30" x14ac:dyDescent="0.2">
      <c r="A13" s="39"/>
      <c r="B13" s="43" t="s">
        <v>133</v>
      </c>
      <c r="C13" s="44" t="s">
        <v>123</v>
      </c>
      <c r="D13" s="44">
        <v>1</v>
      </c>
      <c r="E13" s="45">
        <v>2096.6</v>
      </c>
      <c r="F13" s="45">
        <f t="shared" ref="F13" si="1">D13*E13</f>
        <v>2096.6</v>
      </c>
    </row>
    <row r="14" spans="1:6" x14ac:dyDescent="0.2">
      <c r="A14" s="39">
        <v>541</v>
      </c>
      <c r="B14" s="40" t="s">
        <v>134</v>
      </c>
      <c r="C14" s="50"/>
      <c r="D14" s="50"/>
      <c r="E14" s="51"/>
      <c r="F14" s="51"/>
    </row>
    <row r="15" spans="1:6" x14ac:dyDescent="0.2">
      <c r="A15" s="39"/>
      <c r="B15" s="52"/>
      <c r="C15" s="53" t="s">
        <v>135</v>
      </c>
      <c r="D15" s="53">
        <v>1</v>
      </c>
      <c r="E15" s="54">
        <v>250</v>
      </c>
      <c r="F15" s="54">
        <f>D15*E15</f>
        <v>250</v>
      </c>
    </row>
    <row r="16" spans="1:6" x14ac:dyDescent="0.2">
      <c r="A16" s="39">
        <v>610</v>
      </c>
      <c r="B16" s="40" t="s">
        <v>136</v>
      </c>
      <c r="C16" s="50"/>
      <c r="D16" s="50"/>
      <c r="E16" s="51"/>
      <c r="F16" s="51"/>
    </row>
    <row r="17" spans="1:6" x14ac:dyDescent="0.2">
      <c r="A17" s="39"/>
      <c r="B17" s="43" t="s">
        <v>137</v>
      </c>
      <c r="C17" s="44" t="s">
        <v>123</v>
      </c>
      <c r="D17" s="44">
        <v>1</v>
      </c>
      <c r="E17" s="45">
        <v>2699.16</v>
      </c>
      <c r="F17" s="45">
        <f>D17*E17</f>
        <v>2699.16</v>
      </c>
    </row>
    <row r="18" spans="1:6" x14ac:dyDescent="0.2">
      <c r="A18" s="39">
        <v>759</v>
      </c>
      <c r="B18" s="40" t="s">
        <v>138</v>
      </c>
      <c r="C18" s="41"/>
      <c r="D18" s="41"/>
      <c r="E18" s="42"/>
      <c r="F18" s="42"/>
    </row>
    <row r="19" spans="1:6" x14ac:dyDescent="0.2">
      <c r="A19" s="39"/>
      <c r="B19" s="43" t="s">
        <v>139</v>
      </c>
      <c r="C19" s="44" t="s">
        <v>123</v>
      </c>
      <c r="D19" s="44">
        <v>1</v>
      </c>
      <c r="E19" s="45">
        <v>1340</v>
      </c>
      <c r="F19" s="45">
        <f t="shared" ref="F19:F20" si="2">D19*E19</f>
        <v>1340</v>
      </c>
    </row>
    <row r="20" spans="1:6" x14ac:dyDescent="0.2">
      <c r="A20" s="39"/>
      <c r="B20" s="43" t="s">
        <v>140</v>
      </c>
      <c r="C20" s="44" t="s">
        <v>123</v>
      </c>
      <c r="D20" s="44">
        <v>1</v>
      </c>
      <c r="E20" s="45">
        <v>2185</v>
      </c>
      <c r="F20" s="45">
        <f t="shared" si="2"/>
        <v>2185</v>
      </c>
    </row>
    <row r="21" spans="1:6" x14ac:dyDescent="0.2">
      <c r="A21" s="39">
        <v>760</v>
      </c>
      <c r="B21" s="40" t="s">
        <v>141</v>
      </c>
      <c r="C21" s="41"/>
      <c r="D21" s="41"/>
      <c r="E21" s="42"/>
      <c r="F21" s="42"/>
    </row>
    <row r="22" spans="1:6" x14ac:dyDescent="0.2">
      <c r="A22" s="39"/>
      <c r="B22" s="43" t="s">
        <v>142</v>
      </c>
      <c r="C22" s="44" t="s">
        <v>123</v>
      </c>
      <c r="D22" s="44">
        <v>1</v>
      </c>
      <c r="E22" s="45">
        <v>934.5</v>
      </c>
      <c r="F22" s="45">
        <f t="shared" si="0"/>
        <v>934.5</v>
      </c>
    </row>
    <row r="23" spans="1:6" x14ac:dyDescent="0.2">
      <c r="A23" s="39"/>
      <c r="B23" s="43" t="s">
        <v>143</v>
      </c>
      <c r="C23" s="44" t="s">
        <v>123</v>
      </c>
      <c r="D23" s="44">
        <v>1</v>
      </c>
      <c r="E23" s="45">
        <v>939</v>
      </c>
      <c r="F23" s="45">
        <f t="shared" si="0"/>
        <v>939</v>
      </c>
    </row>
    <row r="24" spans="1:6" ht="30" x14ac:dyDescent="0.2">
      <c r="A24" s="39"/>
      <c r="B24" s="43" t="s">
        <v>144</v>
      </c>
      <c r="C24" s="44" t="s">
        <v>123</v>
      </c>
      <c r="D24" s="44">
        <v>1</v>
      </c>
      <c r="E24" s="45">
        <v>957.14</v>
      </c>
      <c r="F24" s="45">
        <f t="shared" si="0"/>
        <v>957.14</v>
      </c>
    </row>
    <row r="25" spans="1:6" x14ac:dyDescent="0.2">
      <c r="A25" s="39"/>
      <c r="B25" s="43" t="s">
        <v>145</v>
      </c>
      <c r="C25" s="44" t="s">
        <v>123</v>
      </c>
      <c r="D25" s="44">
        <v>1</v>
      </c>
      <c r="E25" s="45">
        <v>73.650000000000006</v>
      </c>
      <c r="F25" s="45">
        <f t="shared" si="0"/>
        <v>73.650000000000006</v>
      </c>
    </row>
    <row r="26" spans="1:6" x14ac:dyDescent="0.2">
      <c r="A26" s="39"/>
      <c r="B26" s="43" t="s">
        <v>146</v>
      </c>
      <c r="C26" s="44" t="s">
        <v>123</v>
      </c>
      <c r="D26" s="44">
        <v>1</v>
      </c>
      <c r="E26" s="45">
        <v>918</v>
      </c>
      <c r="F26" s="45">
        <f t="shared" si="0"/>
        <v>918</v>
      </c>
    </row>
    <row r="27" spans="1:6" x14ac:dyDescent="0.2">
      <c r="A27" s="39"/>
      <c r="B27" s="55"/>
      <c r="C27" s="41"/>
      <c r="D27" s="41"/>
      <c r="E27" s="42"/>
      <c r="F27" s="42"/>
    </row>
    <row r="28" spans="1:6" x14ac:dyDescent="0.2">
      <c r="A28" s="39">
        <v>900</v>
      </c>
      <c r="B28" s="56" t="s">
        <v>147</v>
      </c>
      <c r="C28" s="48" t="s">
        <v>123</v>
      </c>
      <c r="D28" s="48">
        <v>1</v>
      </c>
      <c r="E28" s="57">
        <v>4340</v>
      </c>
      <c r="F28" s="57">
        <f t="shared" ref="F28" si="3">D28*E28</f>
        <v>4340</v>
      </c>
    </row>
    <row r="29" spans="1:6" x14ac:dyDescent="0.2">
      <c r="A29" s="36"/>
      <c r="B29" s="58"/>
      <c r="C29" s="58"/>
      <c r="D29" s="58"/>
      <c r="E29" s="59"/>
      <c r="F29" s="59"/>
    </row>
    <row r="30" spans="1:6" x14ac:dyDescent="0.2">
      <c r="A30" s="39"/>
      <c r="B30" s="60" t="s">
        <v>148</v>
      </c>
      <c r="C30" s="61"/>
      <c r="D30" s="61"/>
      <c r="E30" s="62"/>
      <c r="F30" s="62">
        <f>SUM(F2:F29)</f>
        <v>30040.54</v>
      </c>
    </row>
    <row r="31" spans="1:6" x14ac:dyDescent="0.2">
      <c r="A31" s="39"/>
      <c r="B31" s="60" t="s">
        <v>149</v>
      </c>
      <c r="C31" s="61"/>
      <c r="D31" s="61"/>
      <c r="E31" s="62"/>
      <c r="F31" s="62">
        <f>F30*0.19</f>
        <v>5707.7026000000005</v>
      </c>
    </row>
    <row r="32" spans="1:6" x14ac:dyDescent="0.2">
      <c r="A32" s="39"/>
      <c r="B32" s="60" t="s">
        <v>150</v>
      </c>
      <c r="C32" s="61"/>
      <c r="D32" s="61"/>
      <c r="E32" s="62"/>
      <c r="F32" s="62">
        <f>F30+F31</f>
        <v>35748.242599999998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6</vt:i4>
      </vt:variant>
      <vt:variant>
        <vt:lpstr>Benannte Bereiche</vt:lpstr>
      </vt:variant>
      <vt:variant>
        <vt:i4>53</vt:i4>
      </vt:variant>
    </vt:vector>
  </HeadingPairs>
  <TitlesOfParts>
    <vt:vector size="59" baseType="lpstr">
      <vt:lpstr>A_Grundlagen</vt:lpstr>
      <vt:lpstr>B_Wert</vt:lpstr>
      <vt:lpstr>C_Textbausteine</vt:lpstr>
      <vt:lpstr>E_Lüftungskonzept</vt:lpstr>
      <vt:lpstr>F_Heizlast</vt:lpstr>
      <vt:lpstr>K_Kosten</vt:lpstr>
      <vt:lpstr>A_AG_Adresse</vt:lpstr>
      <vt:lpstr>A_AG_AdresseZusatz</vt:lpstr>
      <vt:lpstr>A_AG_Anrede</vt:lpstr>
      <vt:lpstr>A_AG_Firma</vt:lpstr>
      <vt:lpstr>A_AG_FirmaZusatz</vt:lpstr>
      <vt:lpstr>A_AG_Land</vt:lpstr>
      <vt:lpstr>A_AG_Nachname</vt:lpstr>
      <vt:lpstr>A_AG_Name</vt:lpstr>
      <vt:lpstr>A_AG_Ort</vt:lpstr>
      <vt:lpstr>A_AG_PLZ</vt:lpstr>
      <vt:lpstr>A_AG_PLZ_Ort</vt:lpstr>
      <vt:lpstr>A_AG_Projekt</vt:lpstr>
      <vt:lpstr>A_AG_Vorname</vt:lpstr>
      <vt:lpstr>A_Auftrag</vt:lpstr>
      <vt:lpstr>A_Auftrag_Datum</vt:lpstr>
      <vt:lpstr>A_FlurStkNr</vt:lpstr>
      <vt:lpstr>A_Gutachten_Art</vt:lpstr>
      <vt:lpstr>A_Gutachten_Datum</vt:lpstr>
      <vt:lpstr>A_Gutachten_Thema</vt:lpstr>
      <vt:lpstr>A_Gutachter_Nachname</vt:lpstr>
      <vt:lpstr>A_Gutachter_Name</vt:lpstr>
      <vt:lpstr>A_Gutachter_Vorname</vt:lpstr>
      <vt:lpstr>A_OJ_Adresse</vt:lpstr>
      <vt:lpstr>A_OJ_AdresseZusatz</vt:lpstr>
      <vt:lpstr>A_OJ_Land</vt:lpstr>
      <vt:lpstr>A_OJ_Ort</vt:lpstr>
      <vt:lpstr>A_OJ_PLZ</vt:lpstr>
      <vt:lpstr>A_OJ_PLZ_Ort</vt:lpstr>
      <vt:lpstr>A_OT1_Datum</vt:lpstr>
      <vt:lpstr>A_OT1_Gutachter</vt:lpstr>
      <vt:lpstr>A_OT1_Teilnehmer1</vt:lpstr>
      <vt:lpstr>A_OT1_Teilnehmer2</vt:lpstr>
      <vt:lpstr>A_OT1_Teilnehmer3</vt:lpstr>
      <vt:lpstr>A_OT1_Teilnehmer4</vt:lpstr>
      <vt:lpstr>A_OT1_Zeit</vt:lpstr>
      <vt:lpstr>A_OT2_Datum</vt:lpstr>
      <vt:lpstr>A_OT2_Gutachter</vt:lpstr>
      <vt:lpstr>A_OT2_Teilnehmer1</vt:lpstr>
      <vt:lpstr>A_OT2_Teilnehmer2</vt:lpstr>
      <vt:lpstr>A_OT2_Teilnehmer3</vt:lpstr>
      <vt:lpstr>A_OT2_Teilnehmer4</vt:lpstr>
      <vt:lpstr>A_OT2_Zeit</vt:lpstr>
      <vt:lpstr>A_OT3_Datum</vt:lpstr>
      <vt:lpstr>A_OT3_Gutachter</vt:lpstr>
      <vt:lpstr>A_OT3_Teilnehmer1</vt:lpstr>
      <vt:lpstr>A_OT3_Teilnehmer2</vt:lpstr>
      <vt:lpstr>A_OT3_Teilnehmer3</vt:lpstr>
      <vt:lpstr>A_OT3_Teilnehmer4</vt:lpstr>
      <vt:lpstr>A_OT3_Zeit</vt:lpstr>
      <vt:lpstr>A_Projektname</vt:lpstr>
      <vt:lpstr>A_ProjektNr</vt:lpstr>
      <vt:lpstr>C_Kostenschätzung</vt:lpstr>
      <vt:lpstr>C_Untersuchung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Hubenschmid</dc:creator>
  <cp:lastModifiedBy>Stefan Hubenschmid</cp:lastModifiedBy>
  <dcterms:created xsi:type="dcterms:W3CDTF">2022-12-28T15:21:23Z</dcterms:created>
  <dcterms:modified xsi:type="dcterms:W3CDTF">2026-03-15T09:24:12Z</dcterms:modified>
</cp:coreProperties>
</file>